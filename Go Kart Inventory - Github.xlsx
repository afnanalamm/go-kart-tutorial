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nroo\Documents\Afnan\Coding\Projects\GoKart\"/>
    </mc:Choice>
  </mc:AlternateContent>
  <xr:revisionPtr revIDLastSave="0" documentId="8_{933CBFD9-4EB3-4756-B47B-FF75EA4A7BF9}" xr6:coauthVersionLast="47" xr6:coauthVersionMax="47" xr10:uidLastSave="{00000000-0000-0000-0000-000000000000}"/>
  <bookViews>
    <workbookView xWindow="-120" yWindow="-120" windowWidth="29040" windowHeight="15720" xr2:uid="{00000000-000D-0000-FFFF-FFFF00000000}"/>
  </bookViews>
  <sheets>
    <sheet name="Model 4.1" sheetId="1" r:id="rId1"/>
    <sheet name="Model 4.2 - Post Approval" sheetId="3" r:id="rId2"/>
    <sheet name="Model 4.3 (Dynamic) Expenses" sheetId="2" r:id="rId3"/>
    <sheet name="220525 Gnatt chart" sheetId="4" r:id="rId4"/>
    <sheet name="Sheet1" sheetId="5" r:id="rId5"/>
    <sheet name="Model 4.3 Leftover parts" sheetId="6" r:id="rId6"/>
    <sheet name="Maintenance log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 i="6" l="1"/>
  <c r="C25" i="6"/>
  <c r="L17" i="6"/>
  <c r="L18" i="6"/>
  <c r="L19" i="6"/>
  <c r="L20" i="6"/>
  <c r="L4" i="6"/>
  <c r="L5" i="6"/>
  <c r="L6" i="6"/>
  <c r="L7" i="6"/>
  <c r="L8" i="6"/>
  <c r="L9" i="6"/>
  <c r="L10" i="6"/>
  <c r="L11" i="6"/>
  <c r="L12" i="6"/>
  <c r="L13" i="6"/>
  <c r="L14" i="6"/>
  <c r="L15" i="6"/>
  <c r="L16" i="6"/>
  <c r="L2" i="6"/>
  <c r="M2" i="6"/>
  <c r="M17" i="6"/>
  <c r="M18" i="6"/>
  <c r="M19" i="6"/>
  <c r="M20" i="6"/>
  <c r="M11" i="6"/>
  <c r="M12" i="6"/>
  <c r="M13" i="6"/>
  <c r="M14" i="6"/>
  <c r="M15" i="6"/>
  <c r="M16" i="6"/>
  <c r="M3" i="6"/>
  <c r="M4" i="6"/>
  <c r="M5" i="6"/>
  <c r="M6" i="6"/>
  <c r="M7" i="6"/>
  <c r="M8" i="6"/>
  <c r="M9" i="6"/>
  <c r="M10" i="6"/>
  <c r="C24" i="6"/>
  <c r="C23" i="6"/>
  <c r="D25" i="4"/>
  <c r="B41" i="2"/>
  <c r="B74" i="2"/>
  <c r="D48" i="2"/>
  <c r="C24" i="3"/>
  <c r="C25" i="3" s="1"/>
  <c r="C19" i="1"/>
  <c r="C20" i="1" s="1"/>
  <c r="C29" i="6" l="1"/>
  <c r="C26" i="6"/>
  <c r="C27" i="6" s="1"/>
  <c r="C30" i="6"/>
</calcChain>
</file>

<file path=xl/sharedStrings.xml><?xml version="1.0" encoding="utf-8"?>
<sst xmlns="http://schemas.openxmlformats.org/spreadsheetml/2006/main" count="419" uniqueCount="300">
  <si>
    <t>Item Description</t>
  </si>
  <si>
    <t>Dimensions</t>
  </si>
  <si>
    <t>Cost £s</t>
  </si>
  <si>
    <t>Link</t>
  </si>
  <si>
    <t>.</t>
  </si>
  <si>
    <t>6.5HP OHV Engine</t>
  </si>
  <si>
    <t>36 x 31 x 24cm</t>
  </si>
  <si>
    <t>https://www.amazon.co.uk/Ejoyous-Replacement-Industrial-Agricultural-Air-Cooled/dp/B08VDQGQ27/ref=sr_1_5?dib=eyJ2IjoiMSJ9.fcwco9gx_NJeJrqLN_ejJzktR_G-f0qoU3bGH5i9seVFZ2ste6iZGOQTx0Kjy0fnp64jkD8NZ9BZYrDXaNFVswHK_SJmlRScM4KSGqjKaDH-RXHidWqfCMvH9spU7W1Wa82TKVmsNO3S7-BuGQSQTiz1z5uF4DjBWriEAHqPft_PSOCFWipIKsYUSNImD_-fxaG1iT9_Jrm3ZeMu9bc9Gp-bEIwLMKm4hAL-jIzWClI.QcyiH1B1XjjBzNuCx__dSvYZZBt-Ws969OAY2AzWnCg&amp;dib_tag=se&amp;keywords=6.5hp+engine&amp;qid=1738700015&amp;sr=8-5</t>
  </si>
  <si>
    <t>4x Wheels (After axle comes)</t>
  </si>
  <si>
    <t>25 x 7.5cm</t>
  </si>
  <si>
    <t>https://www.amazon.co.uk/ZENO-Pneumatic-Wheelbarrow-Puncture-Replacement/dp/B0BBKXVZ4G/ref=sr_1_13_sspa?dib=eyJ2IjoiMSJ9.A3OOQI0_Zv-fo18qNzdqTmxP0r7wTFkRvhcTcSbwpBPvszur4SN1Q1apeLngrmvNcu7vUdwZsfugdFv7DMdo0gQuJxI1moLNRtHKMiri1hJS8MKFt2gp3L2R-5zekSb64ot14EGvSoIcmMjte0-bVNUt3yluLnT4ugRRzaeIkIhBUhFCJxYDYiLwd4JzYhxImPQ62vt91eZbMvs-I_U_wkl9rSDSAmiqyqgltgCXHRCB4m1mOrIih7_bnp8GJE8pVP_V2P79LMwAditg-lQFbkpDm9P-PYybokWQ2w34w_U.NpfzG7XFxJUR7-twmqepLcpjDf4bwQytvQa2rpCzBUE&amp;dib_tag=se&amp;keywords=go+kart+wheels&amp;qid=1728220361&amp;s=automotive&amp;sr=1-13-spons&amp;sp_csd=d2lkZ2V0TmFtZT1zcF9tdGY&amp;psc=1</t>
  </si>
  <si>
    <t>https://www.amazon.co.uk/dp/B0DJQRMKHH/ref=sspa_dk_detail_0?psc=1&amp;pd_rd_i=B0DJQRMKHH&amp;pd_rd_w=MmJJW&amp;content-id=amzn1.sym.46187d6a-4306-4bc6-830c-7b2085e0e39f&amp;pf_rd_p=46187d6a-4306-4bc6-830c-7b2085e0e39f&amp;pf_rd_r=ZZVB4FYTXGAYA5ZTEK21&amp;pd_rd_wg=yVqgD&amp;pd_rd_r=18384dd0-1d6e-486c-ad9b-7e99c9ac4b8c&amp;s=automotive&amp;sp_csd=d2lkZ2V0TmFtZT1zcF9kZXRhaWw</t>
  </si>
  <si>
    <t>Torque Converter kit</t>
  </si>
  <si>
    <t>https://www.ebay.co.uk/itm/204669662830</t>
  </si>
  <si>
    <t>Rear Axle Kit +Brake</t>
  </si>
  <si>
    <t>810mm</t>
  </si>
  <si>
    <t>https://www.amazon.co.uk/GXYWADY-Master-Cylinder-Replacement-Rebuild/dp/B0CH3CTZ4F/ref=sr_1_1?dib=eyJ2IjoiMSJ9.6JNiA91wPg11dpNu-uDXeXTu5H9Q8Hbqk42hSsmj9G-tYq6BM_3skaf8Lt_zgGMKdZXPtL4TGCHMoTdxgOIijnNkS7Cl-r2DJl3VTFXK1xnYyU46EPFHwUoy63yPavYxkUJ1RM-VZP5e962j0HD3hoTvnPA7-oDg4cDwrZlNdhoDuYG4xZkSiWbor8J2gHnxpo8yvKyShjiKFEhhf3vw2d8XgrpjgAM1iB6efQuMq5UPtbiyTAQRcoqOOE5gwW-x6aYJiiPxJDVuTSPv7jzm7d3Ds7wV6pXWyEEtFu0_V_Q.vtshT8tpL4gkxtCHxqzZoJas7rCR-7B0d4FqXRDAdtY&amp;dib_tag=se&amp;keywords=36+inch+rear+axle+kit&amp;nsdOptOutParam=true&amp;qid=1728219795&amp;sr=8-1</t>
  </si>
  <si>
    <t>Chassis metal tubing with protection</t>
  </si>
  <si>
    <t>6 x 1.5m</t>
  </si>
  <si>
    <t>Not included yet - need assessor's decision</t>
  </si>
  <si>
    <t>2'x4' timber C24 Sawn treated</t>
  </si>
  <si>
    <t>3x3m (+ delivery)</t>
  </si>
  <si>
    <t>https://fulhamtimber.co.uk/checkout</t>
  </si>
  <si>
    <t>8" Bolts + nuts</t>
  </si>
  <si>
    <t>x25</t>
  </si>
  <si>
    <t>https://www.fastco.co.uk/coach-bolts-m8-x-200mm-zinc-plated-with-nuts-pack-of-25.html?gad_source=1&amp;gclid=CjwKCAiAzPy8BhBoEiwAbnM9OwKXxAxkFmxLlWusxNLkVeA1nNnrjy58zEfqvEjaniK_l7NG2k72lhoC_IMQAvD_BwE</t>
  </si>
  <si>
    <t>with delivery fee</t>
  </si>
  <si>
    <t>2m x 3m Tarpaulin</t>
  </si>
  <si>
    <t>To cover gokart outside while building</t>
  </si>
  <si>
    <t>Riding helmet</t>
  </si>
  <si>
    <t>Decathlon</t>
  </si>
  <si>
    <t>paint/protection</t>
  </si>
  <si>
    <t>angle brackets</t>
  </si>
  <si>
    <t>x12</t>
  </si>
  <si>
    <t>https://www.diy.com/departments/zinc-plated-mild-steel-angle-bracket-h-38mm-w-29mm-l-29mm-pack-of-2/243276_BQ.prd?storeId=1037&amp;gStoreCode=1037&amp;gQT=1</t>
  </si>
  <si>
    <t>screws 40mm</t>
  </si>
  <si>
    <t>1 box</t>
  </si>
  <si>
    <t>https://www.ebay.co.uk/itm/193895326954?_skw=box+of+stainless+screws&amp;itmmeta=01JK43EJYTKCWYH446SKWR129J&amp;hash=item2d250fe4ea:g:qI4AAOSwLc9fQrRa&amp;itmprp=enc%3AAQAJAAAA8HoV3kP08IDx%2BKZ9MfhVJKnMxcHPZ5XoBBk4ZmoWEuRQhwPGUiGCcZDRpXG4pGWc8G59UboK5ArjRh%2BaOFqASnu097it--bGfNJA4XSHMgZWy18O2sGi1zKrz0JEKBZv0kN5kJhkmajDW%2B%2BIzwTWuwCdvKL4hxnHO9uhADBI8Q%2FYJ6KIIc47iIxszIURPUVzCvQadzb29LStzIXePdbW1jyvSMIsCXJSkf%2F4YHZXuGaWw6JkCUIce19nsvKcfvZxuCFeXWQa9G6dNI3C%2BDByX%2FF5j8M%2FcdmH%2BxQn6RXx8shuP2jFjOcSH44SwBqZ6HYJAg%3D%3D%7Ctkp%3ABk9SR86vuoOZZQ</t>
  </si>
  <si>
    <t>washers AMZN</t>
  </si>
  <si>
    <t>x20</t>
  </si>
  <si>
    <t>handlebars</t>
  </si>
  <si>
    <t>x2</t>
  </si>
  <si>
    <t>throttle cable</t>
  </si>
  <si>
    <t>180cm</t>
  </si>
  <si>
    <t>Total</t>
  </si>
  <si>
    <t>Left for Bolts/Nuts/Washers</t>
  </si>
  <si>
    <t xml:space="preserve"> </t>
  </si>
  <si>
    <t>Rod for wheels</t>
  </si>
  <si>
    <t>16mm</t>
  </si>
  <si>
    <t>At school</t>
  </si>
  <si>
    <t>Bolts 8"</t>
  </si>
  <si>
    <t>90* angle brackets</t>
  </si>
  <si>
    <t>x18</t>
  </si>
  <si>
    <t>screws 30mm ish</t>
  </si>
  <si>
    <t>x50</t>
  </si>
  <si>
    <t>washers</t>
  </si>
  <si>
    <t>https://www.diy.com/departments/diall-m10-carbon-steel-medium-flat-washer-dia-10mm-pack-of-20/3663602753605_BQ.prd</t>
  </si>
  <si>
    <t>ask mr palmisano for angle brackets and screws</t>
  </si>
  <si>
    <t>ask building services for 8" bolts</t>
  </si>
  <si>
    <t>ask mr palmisano for washers</t>
  </si>
  <si>
    <t>Cost £s (w/out discounts)</t>
  </si>
  <si>
    <t>https://www.amazon.co.uk/Replacement-Minimal-Vibration-Consumption-Environments/dp/B0DLWRF399/ref=sr_1_1_sspa?crid=268Q96SOXSXRV&amp;dib=eyJ2IjoiMSJ9.1xRgv8wtUAaE6GgyALSug4p35lOwX7x4T-Dw6LDXQHSQzU_7Calzcb7hKAm6SE8JVbJl8b6xZ-A6SZVA0B6fyzmNGL95u5eBLA0RqDUV-kCKV4gISNU4ZGG56vzwzMzzP2T_xaF5vMaqsi7-fqpKJldtHCSDlKhtoZsNMWDYtqq01pUANsPnrh5uHVWsR3IzQQaRoy8Ns2dStBeRj1CdaqUtPxF6sTKIKPLYJT_TnuIotu5bzhWV1jMptBLwDSu99z_UwDWLM4iOdkTz09MsP_ZyTp0xHmplOQOcL8iJlP8.5KdVx4LvsD3l5hlHrt46C7Ua56e3DQp209CbJrSeQLA&amp;dib_tag=se&amp;keywords=6.5hp+engine&amp;qid=1742126584&amp;refinements=p_36%3A5600-8000&amp;rnid=388997011&amp;sprefix=6.5HP+%2Caps%2C128&amp;sr=8-1-spons&amp;sp_csd=d2lkZ2V0TmFtZT1zcF9hdGY&amp;psc=1</t>
  </si>
  <si>
    <t>2x Front Wheels</t>
  </si>
  <si>
    <t>https://www.amazon.co.uk/ZENO-Pneumatic-Wheelbarrow-Puncture-Replacement/dp/B0BBGB2XVX/ref=sxin_15_pa_sp_search_thematic_sspa?content-id=amzn1.sym.ef88c0ed-6e25-412d-9436-2578b3d9875e%3Aamzn1.sym.ef88c0ed-6e25-412d-9436-2578b3d9875e&amp;crid=15CI4FUJTMW0H&amp;cv_ct_cx=wheelbarrow+wheel&amp;keywords=wheelbarrow+wheel&amp;pd_rd_i=B0BBGB2XVX&amp;pd_rd_r=994d4314-c0a0-4258-a785-5f7697fa8c1d&amp;pd_rd_w=brVPp&amp;pd_rd_wg=27Gum&amp;pf_rd_p=ef88c0ed-6e25-412d-9436-2578b3d9875e&amp;pf_rd_r=KHZNCH65TJDRMHDB0VT4&amp;qid=1741809775&amp;sbo=RZvfv%2F%2FHxDF%2BO5021pAnSA%3D%3D&amp;sprefix=wheelb%2Caps%2C85&amp;sr=1-4-ad3222ed-9545-4dc8-8dd8-6b2cb5278509-spons&amp;sp_csd=d2lkZ2V0TmFtZT1zcF9zZWFyY2hfdGhlbWF0aWM&amp;psc=1</t>
  </si>
  <si>
    <t>2x Rear Wheels</t>
  </si>
  <si>
    <t>13in x 5in</t>
  </si>
  <si>
    <t>Clutch + #35 chain</t>
  </si>
  <si>
    <t>3/4" bore</t>
  </si>
  <si>
    <t>https://www.amazon.co.uk/4inch-Centrifugal-Clutch-Tooth-Chain/dp/B07WGD2NXP/ref=sr_1_4?crid=3855PVNHCYGMP&amp;dib=eyJ2IjoiMSJ9.T6ZOODuvqSRxiJFAkxrxRmYnbIc4VdZVw2MsBRP6-kKgLzDPLVbuMQCIWkcQ3k5ULOloPayW-zqtAKE1KKxIlvp30YpP09nj-GBQw1UC6A1WTyPQLRRRkhizgExn1bAmvskWHB0q93_Jf56LxFX4U7WKDtLs0IP_oWTKTiDiiuoJPJ4xApoz0MZjWlcS1541sCXiyfDzXvrFhxFxT4SK658QdHUSgvmW2V6i49NU9JoETXKkM22_UFb_iYUPCmNAPJ-og6fuf2dZfp-i9o-U_-5GhtohJXEuNrZKWmQsr_XNv_gamI09jzd0iu2CBpzx0bQOd77eDWzd3ZqR5el3RibbbQzHAH_GutZvOJYW832vR4m2hTD-hhR0mSeEfBnRhlRZQymvdBEmpAMGJqgMD16gspJ-R0ErZ0z3UoTEwK6Sic-S9BZg4j3rtZjacCsK.fkLP0YTfqnh1Jn0CUzEbzwTFaZLaMOv71OHLhNOZnK8&amp;dib_tag=se&amp;keywords=3%2F4+sprocket+clutch&amp;qid=1743099436&amp;s=industrial&amp;sprefix=3%2F4+sprocket+clutch%2Cindustrial%2C72&amp;sr=1-4-catcorr</t>
  </si>
  <si>
    <t>https://www.ebay.co.uk/itm/205128657932?_trkparms=amclksrc%3DITM%26aid%3D1110006%26algo%3DHOMESPLICE.SIM%26ao%3D1%26asc%3D280672%2C281315%2C281326%2C280571%26meid%3D186a944cd9784cf1a6b137a5c75fcfd1%26pid%3D101875%26rk%3D2%26rkt%3D4%26sd%3D204669662830%26itm%3D205128657932%26pmt%3D1%26noa%3D0%26pg%3D2332490%26algv%3DSimVIDwebV3WithCPCExpansionEmbeddingSearchQuerySemanticBroadMatchSingularityRecallReplaceKnnV4WithVectorDbNsOptHotPlRecall%26brand%3DVEVOR&amp;_trksid=p2332490.c101875.m1851&amp;itmprp=cksum%3A205128657932186a944cd9784cf1a6b137a5c75fcfd1%7Cenc%3AAQAKAAABYHKEKKNMUePryBh1zZl0qrjonWK6%252Bbjh8v6%252FxTRbw1Loxqx736BoO2V7ozv6W4xuOBJjwGhPLWk9lnRB2teM6PFgOrZGVcTwpTth7MW79p066SWQrB1VasW1Di58xl1RMBXsH%252BaNxpzil0t8bdqbPkgJlZgvtHVYNSkxo5xG%252Bq21uJ4ns5oIp0ta3NI6ZOVv22RmL5ZD86%252Fs3DP06JHUohRrLvoTlSPvpz0IFHkhiQAz4o%252FeuAjUk73y3tqLCMOhz7cM5h7re4x3yp8Xk2w2VjMSH5FoJe8NyU00QOcSiB56p9dnvhRmEd7W3HS3lZUHCzK%252FjP9tiLySBCuOh7xHb7HQnaLehOXntAZHAwbjDaSFb0AeUTskrRRhhiEMY5MWOvPc1IMf2zOoZL7CMYbX9k3as7Gk5hedGOPp4tyylPApZ%252Fkx1hUWZK2XGvM6XB9F7v4HuDpRM0MUGiM%252F9rwRvBM%253D%7Campid%3APL_CLK%7Cclp%3A2332490&amp;itmmeta=01JN48DZH8QG5DKRW28M5HQEG8</t>
  </si>
  <si>
    <t>Separate #35 rear gear to attach</t>
  </si>
  <si>
    <t>37.5mm bore, 232mm diameter</t>
  </si>
  <si>
    <t>https://www.amazon.co.uk/Sprocket-Stable-Saving-Mounting-Maintenance/dp/B09XVNZZNQ/ref=sr_1_10?crid=3EDC6GP6S1FDU&amp;dib=eyJ2IjoiMSJ9.nvlhycfck24I64AWkRJtosrKOBZOaIgll5HC3FRB9ks0cu0S1LwGQJLuq0Ldg3n8SiDHKJV6jjj3eDYvLBvxNBOYmWG55ZH_dQbPJV2EuodBvq3pYRHqM25Sj32kyjn2XUGGJFJD70kU3WiawPYMnQ4jaWrXUDf5RF9iM5IWbuhScFRr8nHKPNqqT9lfZANDan9Nu8sSO49rt5f5gPaIxrpHICIpj91BIgDuqZO-eGk83jOI3TH9zzwfXYlPOWIKF5P3e3Bn4WWC-LI7kpxNIHEhL0Jb3pXgN_VtmMHZ27ZTdn2JhI-A_swY8zCIuzb6iSz62iYK_k7OQY7Xtw6uIsCbGF8t1Y9oEpS2UIJ13R5oxwdDrGK2hxUG5Xh_JpQ60JloZ0zef_vAREGIVBijYb9saGnTWBhd5Z0EtiIjnV7sl88MGsqOG_Wn8SFMxhnU.Tm4RHnPb4bX9e2nwH-03_s7AhPSXIQIUVx948wFh-vI&amp;dib_tag=se&amp;keywords=%2335+rear+sprocket&amp;qid=1743109152&amp;sprefix=%2335+rear+sprocket%2Caps%2C54&amp;sr=8-10</t>
  </si>
  <si>
    <t xml:space="preserve">29" </t>
  </si>
  <si>
    <t>https://www.amazon.co.uk/SEBLAFF-Assembly-Shaft-Chain-Brake/dp/B0BP1V2691/ref=sr_1_2?crid=1X8SBGDQF1Y1T&amp;dib=eyJ2IjoiMSJ9.wj6UGutKkZ0k5IEJRLekCff9LKgIihUaYjIiZ-Q6CESGgNG7i7H2VVMSHTndKo1-Jf5aVyxpx8Tw1IxHm_pXmNCulgkU1N9Q4P9YD66WjV3Z9hIqRZRkEjbT_4k8UpjpqPUwaP9Q4NHRF1k8NIItPEUdxKztwnflzZlk8MGzfLXtnaJG7RUT-_0AOy76FmZ3zY-3nILe0ll5dXT15SMwWO3-QeEecRI1Zu-UpJnmpTE.VL3K3_PCf_GOucnUItHBTSgRQoffLRBriD8PtP-DPFE&amp;dib_tag=se&amp;keywords=go+kart+rear+axle+kit&amp;qid=1740679747&amp;sprefix=rear+axle+ki%2Caps%2C95&amp;sr=8-2</t>
  </si>
  <si>
    <t>zinc plated carbon steel M10 180mm bolts</t>
  </si>
  <si>
    <t>x50 - Collect in store - bermondsey</t>
  </si>
  <si>
    <t>https://www.screwfix.com/p/easyfix-general-purpose-threaded-coach-bolts-carbon-steel-bright-zinc-plated-m10-x-180mm-50-pack/54709</t>
  </si>
  <si>
    <t>https://www.screwfix.com/p/easyfix-general-purpose-coach-bolts-carbon-steel-bright-zinc-plated-m8-x-130mm-50-pack/19959</t>
  </si>
  <si>
    <t xml:space="preserve"> #35 Roller Chain - 5 Feet</t>
  </si>
  <si>
    <t>160 links, 5 feet long</t>
  </si>
  <si>
    <t>https://www.amazon.co.uk/Aobbmok-Roller-Chain-Connecting-Replacements/dp/B079L6DQFF/ref=pd_day0fbt_thbs_d_sccl_1/259-3488854-4744615?pd_rd_w=jKCaj&amp;content-id=amzn1.sym.aa5f0976-1480-46a8-ac3e-86a6a439835e&amp;pf_rd_p=aa5f0976-1480-46a8-ac3e-86a6a439835e&amp;pf_rd_r=HX0836965GSJCRFJ6KS3&amp;pd_rd_wg=NJ9Jm&amp;pd_rd_r=83db4dfe-48cc-42f2-b1ae-9c0e992baff9&amp;pd_rd_i=B079L6DQFF&amp;th=1</t>
  </si>
  <si>
    <t>3m x 3m Tarpaulin</t>
  </si>
  <si>
    <t>https://www.amazon.co.uk/Waterproof-waterproof-tarpaulin-camping-painting/dp/B084G9DX33/ref=sr_1_15?crid=1T2Y1D7K1ZA31&amp;dib=eyJ2IjoiMSJ9.RRehQBCu4zwShToIZrZHrxkzTH9fG6n3h28scCe_M5SPd2nRaAg3eAirXUxaz0KA8S_X4dKpzm7tVnKWKS1IV7UHv2w0_uy85s0BVqkeuavJw3St0HzsyM-HxAvcODlqJ62CPZTHEfs3jL0CSDm1H-YN2KDp_SE295tssA2CTGWKFfSaunchbb4W9j_gzPN2pUVCWFGCXUiWha-vkHCVbUWKmy_-0bmhYsFNL4ypGqAKBDxXN0cm9vusWPHVEFvS_qJPW5CY619ic5m_bC3a6HpGpGnaIstbyoYizGjEY-VSGzojlizQ5TiT4e-8xiSDS2OlNE17UxMYl5BAW6LpBEZ1oVXGh07iJPOQ74qkaeBEB7N31OOtJpaKh4nBRRWXF2eHJbVQYhPeuVdCTpacqPj1MznL94GBrfKCptDrlOcNn7MJo7lnGLk_09UAv2XX.x8qMRw7VhD9inegOy9eyD6E_newGbdoRWsglkElJtOg&amp;dib_tag=se&amp;keywords=tarpaulin+3m+x+3m&amp;qid=1740679059&amp;sprefix=tarpaulin+3m+x+3m%2Caps%2C92&amp;sr=8-15</t>
  </si>
  <si>
    <t>90mm X 90mm X 60mm - 12 pack</t>
  </si>
  <si>
    <t>https://www.amazon.co.uk/gp/product/B085QDNHW1/ref=ewc_pr_img_1?smid=A37TFEBGRT7K24&amp;th=1</t>
  </si>
  <si>
    <t>Spax T-Star Plus Flat CSK Wirox Coated - (65484)</t>
  </si>
  <si>
    <t>100 pack - 80mm</t>
  </si>
  <si>
    <t>https://www.toolstation.com/spax-t-star-plus-flat-csk-wirox-coated/p88122?store=null&amp;utm_source=googleshopping&amp;utm_medium=feed&amp;utm_campaign=googleshoppingfeed&amp;gad_source=1&amp;gclid=CjwKCAiA8Lu9BhA8EiwAag16b-WSUjFM7dOylUlzuXh97Sa-xgRMZSvUWi7RiHeIifI5VVOPfjylQxoC6LwQAvD_BwE</t>
  </si>
  <si>
    <t>do we really need ss steel? are woodscrews enough??</t>
  </si>
  <si>
    <t>5 x  80mm</t>
  </si>
  <si>
    <t>washers M10 x 25-50PCS</t>
  </si>
  <si>
    <t xml:space="preserve">x50 </t>
  </si>
  <si>
    <t>https://www.amazon.co.uk/sourcing-map-Stainless-Factories-Construction/dp/B0DDX11MCF/ref=sr_1_4?crid=15F5UJ7U7GLS1&amp;dib=eyJ2IjoiMSJ9.Iv-xfT64IPqG1dGr2NITjytpGGaqlXPRTPIqcXGGWenDLc_exVfdvCzLX25CP-nGnf_2kxPwTIDDKg_LOdoaN0IkwnI03TlhsEnJQiffhjH3KGCgFyhPyKL8SCQyBb2kW-K6yGE-rAQFZDFttRcM5YVB9ev0XWkv4uVN9_PNGvy7zBe75e4P2eaTsvemxJCXNVhmiX5aKx83N7ax4b_pbIAOQIMPiCPeAdyFRx8g8bgz1F9vHnEv2lOyb5VuJJ_-5y9LCx5aS1vJ9HsnRzAUgnVVG3LmHnOdEz1HSXsuSpNoPEJEEtFWf6NTwVtSm_E3IVKGXvjdnLsTSCGDffYpIN0K0Dx8Qh_zYjkBW4HBrTY.D9nkZ7-75davPgEN5RZ7NYR3UML9il1EQpJbi155tzA&amp;dib_tag=se&amp;keywords=m10%2Bbolt%2Bwashers%2B100pcs&amp;qid=1740856305&amp;s=industrial&amp;sprefix=m10%2Bbolt%2Bwashers%2B100pcs%2Cindustrial%2C56&amp;sr=1-4&amp;th=1</t>
  </si>
  <si>
    <t>https://www.amazon.co.uk/M10-Washers-Stainless-Spacers-25-50PCS/dp/B0D8HWSD57/ref=sr_1_6?crid=1QJ4V9BDFV4B&amp;dib=eyJ2IjoiMSJ9.Wv92pTyCxQQt2tJzGlWFHy80CJS0cVWpQyf5fnZfvaY-zZIXeVLPFKJGYQ8pLkUDins3cAph6Gmejep9akNmPkS3tIkT_8wny3zU8riS3BCostGAOulv1T036w0xytifV5fYjjZmuGyRpWyqJDZcZ8qWZIYnjrDaGX9teXLIs0EFODNBeIWV465oNHEOkuqOhWTTa4YIBfLCQ5nbLGaEX8Z313ZGuzBetcapkkkd3MaaStP7uZri8qG_8td6KmwiBiGDuvsZJb1WhRYyBSzdSNrYvGE3PFWzGE5Uw2aYV69vgeG8dTdoJ4qGAMXwp1_LlbYCwWviIzRcLHNCe2KLc7pH0Uz5LRGK1HXByctGpz4.iEZyg5x33gZof9mQ1yKxr-xiZTuv03Ed9mHhZDyhM2s&amp;dib_tag=se&amp;keywords=m10%2Bbolt%2Bwashers&amp;qid=1740781872&amp;s=industrial&amp;sprefix=m10%2Bbolt%2Bwashers%2Cindustrial%2C65&amp;sr=1-6&amp;th=1</t>
  </si>
  <si>
    <t>https://www.amazon.co.uk/gp/product/B0D8FKB8HJ/ref=ewc_pr_img_1?smid=A23LPY0XMLU7QZ&amp;th=1</t>
  </si>
  <si>
    <t>https://www.ebay.co.uk/itm/166542584938?chn=ps&amp;_ul=GB&amp;_trkparms=ispr%3D1&amp;amdata=enc%3A1l7DuBbc9SmK8IHs61hV0pQ47&amp;norover=1&amp;mkevt=1&amp;mkrid=710-134428-41853-0&amp;mkcid=2&amp;mkscid=101&amp;itemid=166542584938&amp;targetid=2360873003490&amp;device=c&amp;mktype=pla&amp;googleloc=9044906&amp;poi=&amp;campaignid=21690875706&amp;mkgroupid=169793746720&amp;rlsatarget=pla-2360873003490&amp;abcId=10027099&amp;merchantid=115236306&amp;gad_source=1&amp;gclid=CjwKCAiA8Lu9BhA8EiwAag16b8FUNG5_zo0M1CzuSnZsN3YyqKe9evkqRqb0ZTJO5kC12IvQw7Kl5RoCeugQAvD_BwE</t>
  </si>
  <si>
    <t>Face masks</t>
  </si>
  <si>
    <t>x100</t>
  </si>
  <si>
    <t>https://www.amazon.co.uk/Abena-Type-Disposable-Face-Loops/dp/B08P35F6RH/ref=sr_1_8?dib=eyJ2IjoiMSJ9.L5xN-e2hGi8iM12q_pDz_-3_cmfrnhB9MxvOgO0VQXYpDXE3MDFveaYkQRMrfamtkPdQNoTUMFdPgAICbbmKCznuzlHLBXI0ji22oyBWCEKGW2R8tWZuE4zUeHcbuiSNw6zYdwDlX3hgUA9jLeoqvSKG8g_F-zeiD98tUmpl1EX3EEg2Li8K_ye1w6UbNHLu0t2cr5OZcBI3j_x4lbTy4SVzc5f_ecfgiwiJY8D6577qN9sGj9FdJ167zRGZCzc5usY_fG9UBP8G2iiSchBUpJ9CmDDZUJGcMJtuAqN53Oa7gv3VN6Cz4aq57bVb1GZTVnZ1YzNNtH_U5ahVXSKpg0L6ttEaRKfOSWXVPeCzJhbHHhiWqLYU2SKVtR5lZU-bygGve2UHRRaMypiyy4PNvOmLDuEupmuvBH_UYSX_pLOzoTZW8jc9J2qdXt1NieDH.KIz762eLoQpzNp26FM5sqyxq1VQs45O7T8eg9UUtXTA&amp;dib_tag=se&amp;keywords=surgical+mask&amp;qid=1740856762&amp;sr=8-8</t>
  </si>
  <si>
    <t>Gloves</t>
  </si>
  <si>
    <t>x50 pairs</t>
  </si>
  <si>
    <t>https://www.amazon.co.uk/MediHands-Powder-Gloves-Disposable-Medium/dp/B07L5MYF5V/ref=sr_1_25_sspa?dib=eyJ2IjoiMSJ9.HBkem1QGlMoz6ZjJK2sr93dLGCjfdpb8WLYFzwRjGvvs7fhtxYJQk8ubcuNAEYWSt4uCgKLTakYRARSevDGzpoYaIc0aWIklTpgkj0RwARJnISdxTBrcfA79Tc_D7N5iTXtL9DbBd1BvbEAnutM89mYgMz1Rdb30M_rmM267__zjvSusZg2zBTknF8QQAbIIo4RfRyS1uOa1yOzVvR6oj1gZgH6FcNQHeTJbv9gWRnitMn5nQdZlRVAhYqGLcWxSCpMYr6G5UYbezode-uXMZg4kdHh2UKgpg6tQcA5yno4.2D2Gek5ZpYriwTerGB1HI4TySxmzowpiW3o6xTg0Sbk&amp;dib_tag=se&amp;keywords=disposable%2BGloves&amp;qid=1740858307&amp;refinements=p_36%3A300-1100&amp;rnid=118657031&amp;s=diy&amp;sr=1-25-spons&amp;sp_csd=d2lkZ2V0TmFtZT1zcF9idGY&amp;th=1</t>
  </si>
  <si>
    <t>https://www.amazon.co.uk/Disposable-Examination-Preparation-Cleaning-Multi-Purpose/dp/B0D4DZD4LM/ref=sr_1_4?crid=17FYM30G1826L&amp;dib=eyJ2IjoiMSJ9.vOEczs2J6sL28CdBf1O_CnouRQ1-WMOAmX9LQAlrvfJ6glpvqV9JfO8N50quq73aS0yB5v9-xcDwedx0TiGyFfMbBcq1dQbNm6iKdcsBHVUGsk31JCf-xUmsXnNV0XNgMHsr03EedW5iI5iFvIdqZkjpHXS9mEhneEPSc_BXoyPaovShl1Vzk-AGq_YAufYe43IsEFlBWw0mNpmIQkDsXsabL--L01fstyWzs1FKcFYz_icD01BmXCxQm0fMPLyD8ZTgNQPL6_tirDQt5X-5Eku2jD4vuWcuC18UZ_APC9RWs6AN4K4_W9MtUSajm33XMdtztweeFi7VL5kF2OcMrX7cUO6df_KOm_Eu77uOYnM.a0S5E5pbffUttzFyqu2X70hJfIes2i5Gqx7r9XowAhM&amp;dib_tag=se&amp;keywords=gloves%2Bdisposable%2Bmedium&amp;qid=1740856921&amp;refinements=p_n_feature_two_browse-bin%3A28138565031%2Cp_36%3A300-800&amp;rnid=118657031&amp;s=diy&amp;sprefix=gloves%2Caps%2C88&amp;sr=1-4&amp;th=1</t>
  </si>
  <si>
    <t>Remainder</t>
  </si>
  <si>
    <t>Transactions</t>
  </si>
  <si>
    <t>£££</t>
  </si>
  <si>
    <t>Description</t>
  </si>
  <si>
    <t>Price</t>
  </si>
  <si>
    <t>Status</t>
  </si>
  <si>
    <t>Return Expenses</t>
  </si>
  <si>
    <t>Refunded</t>
  </si>
  <si>
    <t>MEF Payment</t>
  </si>
  <si>
    <t>Steel M10 180mm bolts</t>
  </si>
  <si>
    <t>Aquired, in custody</t>
  </si>
  <si>
    <t>_____Return Gloves</t>
  </si>
  <si>
    <t>Kept for personal use</t>
  </si>
  <si>
    <t>Rear axle kit</t>
  </si>
  <si>
    <t>Tarp, Angle Brackets, Chain, Washers</t>
  </si>
  <si>
    <t>Chain my be returned if it doesn't fit sprocket on torque converter (and the converter sprocket fits the axle kit chain)</t>
  </si>
  <si>
    <t>2x Rear, 2x Front Wheels. 10.95,  28.88</t>
  </si>
  <si>
    <t>4x Wheels</t>
  </si>
  <si>
    <t>RETURNED</t>
  </si>
  <si>
    <t>x3 - 2"x4" 3m C24 timber</t>
  </si>
  <si>
    <t>Engine</t>
  </si>
  <si>
    <t>Torque Converter</t>
  </si>
  <si>
    <t>_____Return Chain</t>
  </si>
  <si>
    <t>Returned &amp; Refunded</t>
  </si>
  <si>
    <t>_____Return Torque Converter</t>
  </si>
  <si>
    <t>Returnless Refunded</t>
  </si>
  <si>
    <t>_____Refund 65% - Engine</t>
  </si>
  <si>
    <t>Clutch + Chain</t>
  </si>
  <si>
    <t>Rear gear</t>
  </si>
  <si>
    <t>Amazon Prime Delivery for clutch, chain and gear</t>
  </si>
  <si>
    <t>Paid by Afnan (As of now)</t>
  </si>
  <si>
    <t>_____Return Clutch + Chain #35</t>
  </si>
  <si>
    <t>_____Return Rear gear #35</t>
  </si>
  <si>
    <t>420 chain</t>
  </si>
  <si>
    <t>420 rear sprocket</t>
  </si>
  <si>
    <t>1" bore #40/41 clutch</t>
  </si>
  <si>
    <t>Madlife Garage Go Kart Mini Bike Centrifugal Clutch 1"Bore#40 41 Chain 14T Tooth Heavy Duty-black For GX Engine 4 stroke Go Kart Buggy : Amazon.co.uk: Automotive</t>
  </si>
  <si>
    <t>7/8" to 1" shaft adapter</t>
  </si>
  <si>
    <t xml:space="preserve">Just in case the 1" bore is sized &gt;25.4mm, or needs to be fitted tight on the shaft - might be returned </t>
  </si>
  <si>
    <t>3/4" to 1" shaft adapter</t>
  </si>
  <si>
    <t>_____Return 3/4" to 1" shaft adapter</t>
  </si>
  <si>
    <t>KP003 pillow block bearing</t>
  </si>
  <si>
    <t>M6 80mm x6 bolts for front axle</t>
  </si>
  <si>
    <t>Postage,Packing for bearings &amp; bolts</t>
  </si>
  <si>
    <t>M8 bolts for engine</t>
  </si>
  <si>
    <t>Split Pins for front axle</t>
  </si>
  <si>
    <t>Postage,Packing for pins &amp; bolts - Prime click &amp; collect (Collected by Sn)</t>
  </si>
  <si>
    <t>_____Return split pins</t>
  </si>
  <si>
    <t>Castrol 1L 10W 30 engine oil</t>
  </si>
  <si>
    <t>1" Bore Shaft Collar</t>
  </si>
  <si>
    <t>4pcs T-Bolt hose clamp</t>
  </si>
  <si>
    <t>SET OF 2 X CASTLE NUTS M15,                      after rear left castle nut came unscrewed and got lost in the football pitch</t>
  </si>
  <si>
    <t>https://ebay.us/m/g0ABIp</t>
  </si>
  <si>
    <t>_____Return castle nuts m15</t>
  </si>
  <si>
    <t>M16 nuts screwfix</t>
  </si>
  <si>
    <t>_____Return castle nuts m16</t>
  </si>
  <si>
    <t>To Do</t>
  </si>
  <si>
    <t>Minutes needed</t>
  </si>
  <si>
    <t>In sequence with group</t>
  </si>
  <si>
    <t>DIagram</t>
  </si>
  <si>
    <t>Tape keystock to shaft, then place clutch on</t>
  </si>
  <si>
    <t>#Lunch</t>
  </si>
  <si>
    <t xml:space="preserve">Take engine to building services at lunch for petrol &amp; testing. </t>
  </si>
  <si>
    <t>Move chassis, tyres, axle, bolts, drill bits etc into workshop</t>
  </si>
  <si>
    <t>A1</t>
  </si>
  <si>
    <t>[B]-|S|-[N]----[N]-|S|-[N]--  Bolt head-sprocket-nut-{space}-nut-sprocket-nut</t>
  </si>
  <si>
    <t>Drill 3rd, 4th hole into #35 sprocket</t>
  </si>
  <si>
    <t>B1</t>
  </si>
  <si>
    <t>Arrange sprockts properly - Put M8 bolts through sprocket &amp; fit nuts on either side of each- Mark where to cut bolts</t>
  </si>
  <si>
    <t>B2</t>
  </si>
  <si>
    <t>Hacksaw 4 bolts</t>
  </si>
  <si>
    <t>B3</t>
  </si>
  <si>
    <t>Grindstone #25 sprocket</t>
  </si>
  <si>
    <t>C1</t>
  </si>
  <si>
    <t>Find &amp; gather required drill bits to drill last 10mm hole</t>
  </si>
  <si>
    <t>D1</t>
  </si>
  <si>
    <t>Drill last 10mm hole into the frame</t>
  </si>
  <si>
    <t>D2</t>
  </si>
  <si>
    <r>
      <rPr>
        <sz val="11"/>
        <color rgb="FF000000"/>
        <rFont val="Aptos Narrow"/>
        <scheme val="minor"/>
      </rPr>
      <t xml:space="preserve">Put axle through bearings, place bearings into place, </t>
    </r>
    <r>
      <rPr>
        <b/>
        <i/>
        <u/>
        <sz val="11"/>
        <color rgb="FF000000"/>
        <rFont val="Aptos Narrow"/>
        <scheme val="minor"/>
      </rPr>
      <t xml:space="preserve">place washers, </t>
    </r>
    <r>
      <rPr>
        <sz val="11"/>
        <color rgb="FF000000"/>
        <rFont val="Aptos Narrow"/>
        <scheme val="minor"/>
      </rPr>
      <t xml:space="preserve">place nuts, put on spacers, sprockets, brake discs etc, wheels, castle screws. </t>
    </r>
    <r>
      <rPr>
        <b/>
        <i/>
        <u/>
        <sz val="11"/>
        <color rgb="FF000000"/>
        <rFont val="Aptos Narrow"/>
        <scheme val="minor"/>
      </rPr>
      <t>(Must plan all the layout and placement of every component beforehand)</t>
    </r>
  </si>
  <si>
    <t>D3 &amp; B4 OVERLAP</t>
  </si>
  <si>
    <t>Place the gokart on the floor, then place the engine cross planks, then place the engine</t>
  </si>
  <si>
    <t>E1</t>
  </si>
  <si>
    <t>Place chain over rear sprocket and clutch, and make sure to decrease chain slack as much as possible (call sir over)</t>
  </si>
  <si>
    <t>E2</t>
  </si>
  <si>
    <t>Mark outline on side planks where to place cross planks (after finished varying the tension). Mark where to place the engine on the engine cross planks (the outline). Then mark where to bolt</t>
  </si>
  <si>
    <t>E3</t>
  </si>
  <si>
    <t>Place the seat on to check if there is enough space to sit. Sit down on it and move your legs about</t>
  </si>
  <si>
    <t>E4</t>
  </si>
  <si>
    <r>
      <rPr>
        <sz val="11"/>
        <color rgb="FF000000"/>
        <rFont val="Aptos Narrow"/>
        <scheme val="minor"/>
      </rPr>
      <t xml:space="preserve">Bolt engine in place. Place the shaft bolt and other bolts in place </t>
    </r>
    <r>
      <rPr>
        <b/>
        <i/>
        <u/>
        <sz val="11"/>
        <color rgb="FF000000"/>
        <rFont val="Aptos Narrow"/>
        <scheme val="minor"/>
      </rPr>
      <t>WITH WASHERS</t>
    </r>
    <r>
      <rPr>
        <sz val="11"/>
        <color rgb="FF000000"/>
        <rFont val="Aptos Narrow"/>
        <scheme val="minor"/>
      </rPr>
      <t>. Place a thick, circular wooden "stopper" on the shaft-bolt then drive the shaft bolt in with nuts and washers</t>
    </r>
  </si>
  <si>
    <t> </t>
  </si>
  <si>
    <t>15:05 to 15:23 (went after Jummah in Mellish, then had to wait for him to show-up after Ms. Walters called him) </t>
  </si>
  <si>
    <t>15:23 to 16:30 {sat with Mr. Farr troubleshooting the replica, then discussing and analysing possible combinations of adapter, wrench-adapter, clutch, keyway shape and key; had to take apart clutch as well together. Sir took Amazon link of clutch, dimensions and picture of this and the engine to show a mechanic's workshop} </t>
  </si>
  <si>
    <t>To explain all the wor</t>
  </si>
  <si>
    <t>INITIAL</t>
  </si>
  <si>
    <t>Loosen the throttle handle's nut slightly for it to spring back easily</t>
  </si>
  <si>
    <t>Explain all the work that needs to be done, how things need to be done, who needs to do what, what we're aiming to get done for today</t>
  </si>
  <si>
    <t xml:space="preserve">Arrange sprockts properly - Put M8 bolts through sprocket &amp; fit nuts on either side of each- Mark where to cut bolts </t>
  </si>
  <si>
    <t>Measure diameter, draw &amp; cut on bandsaw: circular wooden stopper for clutch (with Sir)</t>
  </si>
  <si>
    <t>F1</t>
  </si>
  <si>
    <t>All actions that share are common letter are in sequence. For example, A1 must be followed by A2, then A3. But processes in group A can occur parallel to processes in group B or C or so on.</t>
  </si>
  <si>
    <t>F2</t>
  </si>
  <si>
    <t>B(1-3) &amp; C are independent and can happen simultaneously. B3 and C1 need to finish before D3. B4 will happen simultaneously as D3</t>
  </si>
  <si>
    <t>F3</t>
  </si>
  <si>
    <t>E1 has to occur before F1</t>
  </si>
  <si>
    <t>F4</t>
  </si>
  <si>
    <t>A1 has to occur before B, C, D, E, F, G</t>
  </si>
  <si>
    <t>F5</t>
  </si>
  <si>
    <t>Group F will occur after groups A, B, C, D and E are finished. G occurs after F.</t>
  </si>
  <si>
    <t>Test how well the rolling frame works as someone pushes someone else from the hack</t>
  </si>
  <si>
    <t>G1</t>
  </si>
  <si>
    <t>There are 3 people, and each person can only work on a single group at a time. For example, Bob needs to work and finish Group D before moving onto a new group, and Alice needs to work on group B before moving onto another group.</t>
  </si>
  <si>
    <t>Everyone must do group A together only. For all other groups, only one person can carry out the tasks in that group.</t>
  </si>
  <si>
    <t>Start Time,"End Time","Task Description","Duration (min)","Group","Assigned To"</t>
  </si>
  <si>
    <t>3:10 PM,"3:16 PM","To explain all the work","6","INITIAL","Afnan, Ognian, Joseph"</t>
  </si>
  <si>
    <t>3:16 PM,"3:21 PM","Move chassis, tyres, axle, bolts, drill bits etc into workshop","5","A1","Afnan, Ognian, Joseph"</t>
  </si>
  <si>
    <t>3:21 PM,"3:29 PM","Drill 3rd, 4th hole into #35 sprocket","8","B1","Afnan"</t>
  </si>
  <si>
    <t>3:21 PM,"3:28 PM","Grindstone #25 sprocket","7","C1","Joseph"</t>
  </si>
  <si>
    <t>3:21 PM,"3:23 PM","Find &amp; gather required drill bits to drill last 10mm hole","2","D1","Ognian"</t>
  </si>
  <si>
    <t>3:23 PM,"3:31 PM","Drill last 10mm hole into the frame","8","D2","Ognian"</t>
  </si>
  <si>
    <t>3:28 PM,"3:38 PM","Measure diameter, draw &amp; cut on bandsaw: circular wooden stopper for clutch (with Sir)","10","E1","Joseph"</t>
  </si>
  <si>
    <t>3:29 PM,"3:34 PM","Arrange sprockts properly - Put M8 bolts through sprocket &amp; fit nuts on either side of each- Mark where to cut bolts","5","B2","Afnan"</t>
  </si>
  <si>
    <t>3:34 PM,"3:49 PM","Hacksaw 4 bolts","15","B3","Afnan"</t>
  </si>
  <si>
    <t>3:49 PM,"3:54 PM","Put axle through bearings, place bearings into place, place washers, place nuts, put on spacers, sprockets, brake discs etc, wheels, castle screws. (Must plan all the layout and placement of every component beforehand)","5","D3/B4","Afnan, Ognian"</t>
  </si>
  <si>
    <t>3:54 PM,"3:55 PM","Place the gokart on the floor, then place the engine cross planks, then place the engine","1","F1","Afnan, Ognian, Joseph"</t>
  </si>
  <si>
    <t>3:55 PM,"4:01 PM","Place chain over rear sprocket and clutch, and make sure to decrease chain slack as much as possible (call sir over)","6","F2","Afnan, Ognian, Joseph"</t>
  </si>
  <si>
    <t>4:01 PM,"4:09 PM","Mark outline on side planks where to place cross planks (after finished varying the tension). Mark where to place the engine on the engine cross planks (the outline). Then mark where to bolt","8","F3","Afnan, Ognian (until 4:05), Joseph"</t>
  </si>
  <si>
    <t>4:09 PM,"4:14 PM","Place the seat on to check if there is enough space to sit. Sit down on it and move your legs about","5","F4","Afnan, Joseph"</t>
  </si>
  <si>
    <t>4:14 PM,"4:20 PM","Bolt engine in place. Place the shaft bolt and other bolts in place WITH WASHERS. Place a thick, circular wooden ""stopper"" on the shaft-bolt then drive the shaft bolt in with nuts and washers","6","F5","Afnan, Joseph"</t>
  </si>
  <si>
    <t>4:20 PM,"4:30 PM","Test how well the rolling frame works as someone pushes someone else from the hack","10","G1","Joseph"</t>
  </si>
  <si>
    <t>Date</t>
  </si>
  <si>
    <t>Item</t>
  </si>
  <si>
    <t>No. Left</t>
  </si>
  <si>
    <t>N. Original</t>
  </si>
  <si>
    <t>N. Selling</t>
  </si>
  <si>
    <t>Notes</t>
  </si>
  <si>
    <t>Brand (if known)</t>
  </si>
  <si>
    <t>Listed?</t>
  </si>
  <si>
    <t>Cumulative Buy Value for select items listed</t>
  </si>
  <si>
    <t>Cumulative Selling Evaluation for select items listed</t>
  </si>
  <si>
    <t>Revenue</t>
  </si>
  <si>
    <t>% Depriciation</t>
  </si>
  <si>
    <t>% Loss</t>
  </si>
  <si>
    <t>M10 washers</t>
  </si>
  <si>
    <t>40 kept aside or used on gokart</t>
  </si>
  <si>
    <t>Amazon</t>
  </si>
  <si>
    <t>eBay</t>
  </si>
  <si>
    <t>M10 180mm bolts &amp; nuts</t>
  </si>
  <si>
    <t>Screwfix</t>
  </si>
  <si>
    <t>M10 studdings</t>
  </si>
  <si>
    <t>5mm x 4mm split pins</t>
  </si>
  <si>
    <t>Intact; brand new</t>
  </si>
  <si>
    <t>bicycle inner tube</t>
  </si>
  <si>
    <t>most of it left, to be used for gokart engine's shaft, requires regular maintenance changes</t>
  </si>
  <si>
    <t>Kc Nguyen</t>
  </si>
  <si>
    <t>handlebar right handle</t>
  </si>
  <si>
    <t>taken out for to reduce confusion, keep for gokart</t>
  </si>
  <si>
    <t>The Charity Bike Shop</t>
  </si>
  <si>
    <t>#25 ish chain</t>
  </si>
  <si>
    <t>came with rear axle, idk what to do with it</t>
  </si>
  <si>
    <t>bicycle brake cable</t>
  </si>
  <si>
    <t>keep for gokart</t>
  </si>
  <si>
    <t>M8 nuts</t>
  </si>
  <si>
    <t>most came from school, to be returned, one nut per bolt bought from Amazon</t>
  </si>
  <si>
    <t>M8 bolt full length</t>
  </si>
  <si>
    <t>check amazon for product dimensions, keep for gokart</t>
  </si>
  <si>
    <t>M8 bolts shortened</t>
  </si>
  <si>
    <t>needs grinding, keep for future use or return to school</t>
  </si>
  <si>
    <t>M8 bolts from school</t>
  </si>
  <si>
    <t>to be returned</t>
  </si>
  <si>
    <t>School</t>
  </si>
  <si>
    <t>M10 bolt shortened</t>
  </si>
  <si>
    <t>16mm rod offcut</t>
  </si>
  <si>
    <t>return to school's metal store</t>
  </si>
  <si>
    <t>M6 80mm x3 bolts for front axle</t>
  </si>
  <si>
    <t>Amazon, School (1)</t>
  </si>
  <si>
    <t>M6 nuts</t>
  </si>
  <si>
    <t>some mine, some from school, got one per bolt bought</t>
  </si>
  <si>
    <t>Amazon, School</t>
  </si>
  <si>
    <t>16mm pillow block bearing P003</t>
  </si>
  <si>
    <t>3/4" to 1" shaft adapter with key</t>
  </si>
  <si>
    <t>Total Grant</t>
  </si>
  <si>
    <t>Total Left Over Buy Value</t>
  </si>
  <si>
    <t>Total Left Over Listed Value</t>
  </si>
  <si>
    <t>Total Left Over Sell Revenue</t>
  </si>
  <si>
    <t>Total from grant effectively utilised</t>
  </si>
  <si>
    <t>Percentage utilised effectively</t>
  </si>
  <si>
    <t>Average percentage depreciation</t>
  </si>
  <si>
    <t>Average percentage loss</t>
  </si>
  <si>
    <t>#25-#35 rear sprocket screws need to be tightened and glued</t>
  </si>
  <si>
    <t>rear right wheel needs to be bolted and double nutted per bolt</t>
  </si>
  <si>
    <t>handlebars need to be double bolted</t>
  </si>
  <si>
    <t>t bolt clamp on engine shaft needs to be tightened</t>
  </si>
  <si>
    <t>washers need to be used for the engine support cross planks</t>
  </si>
  <si>
    <t>double nut each bolt on front axle pillow bearing</t>
  </si>
  <si>
    <t>Double nut bolt on either end of front axle preventing wheel sliding out</t>
  </si>
  <si>
    <t>Need to add brake fluid, the put in the brake cylinder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</si>
</sst>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4" x14ac:knownFonts="1">
    <font>
      <sz val="11"/>
      <color theme="1"/>
      <name val="Aptos Narrow"/>
      <family val="2"/>
      <scheme val="minor"/>
    </font>
    <font>
      <u/>
      <sz val="11"/>
      <color theme="10"/>
      <name val="Aptos Narrow"/>
      <family val="2"/>
      <scheme val="minor"/>
    </font>
    <font>
      <sz val="10"/>
      <color rgb="FF000000"/>
      <name val="Aptos Narrow"/>
      <family val="2"/>
    </font>
    <font>
      <sz val="10"/>
      <color rgb="FF000000"/>
      <name val="Arial"/>
      <family val="2"/>
    </font>
    <font>
      <sz val="10"/>
      <color rgb="FF333333"/>
      <name val="Raleway"/>
      <charset val="1"/>
    </font>
    <font>
      <sz val="10"/>
      <color rgb="FF333333"/>
      <name val="Raleway"/>
    </font>
    <font>
      <b/>
      <sz val="12"/>
      <color rgb="FF191919"/>
      <name val="Arial"/>
      <family val="2"/>
    </font>
    <font>
      <sz val="11"/>
      <color rgb="FF191919"/>
      <name val="Aptos Narrow"/>
      <scheme val="minor"/>
    </font>
    <font>
      <u/>
      <sz val="11"/>
      <color rgb="FF000000"/>
      <name val="Aptos Narrow"/>
      <family val="2"/>
      <scheme val="minor"/>
    </font>
    <font>
      <sz val="10"/>
      <color rgb="FF000000"/>
      <name val="Arial"/>
    </font>
    <font>
      <sz val="11"/>
      <color rgb="FF242424"/>
      <name val="Aptos Narrow"/>
      <charset val="1"/>
    </font>
    <font>
      <sz val="11"/>
      <name val="Calibri"/>
      <family val="2"/>
      <charset val="1"/>
    </font>
    <font>
      <sz val="11"/>
      <color rgb="FF000000"/>
      <name val="Aptos Narrow"/>
      <scheme val="minor"/>
    </font>
    <font>
      <b/>
      <i/>
      <u/>
      <sz val="11"/>
      <color rgb="FF000000"/>
      <name val="Aptos Narrow"/>
      <scheme val="minor"/>
    </font>
  </fonts>
  <fills count="9">
    <fill>
      <patternFill patternType="none"/>
    </fill>
    <fill>
      <patternFill patternType="gray125"/>
    </fill>
    <fill>
      <patternFill patternType="solid">
        <fgColor rgb="FFFFFFFF"/>
        <bgColor indexed="64"/>
      </patternFill>
    </fill>
    <fill>
      <patternFill patternType="solid">
        <fgColor rgb="FF00B050"/>
        <bgColor indexed="64"/>
      </patternFill>
    </fill>
    <fill>
      <patternFill patternType="solid">
        <fgColor rgb="FFC00000"/>
        <bgColor indexed="64"/>
      </patternFill>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style="thin">
        <color indexed="64"/>
      </right>
      <top style="thin">
        <color indexed="64"/>
      </top>
      <bottom/>
      <diagonal/>
    </border>
    <border>
      <left style="thin">
        <color indexed="64"/>
      </left>
      <right style="thin">
        <color rgb="FF000000"/>
      </right>
      <top style="thin">
        <color rgb="FF000000"/>
      </top>
      <bottom style="thin">
        <color rgb="FF000000"/>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909090"/>
      </left>
      <right/>
      <top/>
      <bottom/>
      <diagonal/>
    </border>
    <border>
      <left style="thin">
        <color rgb="FF909090"/>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79">
    <xf numFmtId="0" fontId="0" fillId="0" borderId="0" xfId="0"/>
    <xf numFmtId="0" fontId="0" fillId="0" borderId="1" xfId="0" applyBorder="1" applyAlignment="1">
      <alignment vertical="center" wrapText="1"/>
    </xf>
    <xf numFmtId="0" fontId="2" fillId="0" borderId="1" xfId="0" applyFont="1" applyBorder="1"/>
    <xf numFmtId="0" fontId="1" fillId="0" borderId="1" xfId="1" applyBorder="1"/>
    <xf numFmtId="0" fontId="2" fillId="0" borderId="2" xfId="0" applyFont="1" applyBorder="1"/>
    <xf numFmtId="0" fontId="0" fillId="0" borderId="0" xfId="0" applyAlignment="1">
      <alignment wrapText="1"/>
    </xf>
    <xf numFmtId="0" fontId="0" fillId="0" borderId="1" xfId="0" applyBorder="1" applyAlignment="1">
      <alignment wrapText="1"/>
    </xf>
    <xf numFmtId="0" fontId="3" fillId="0" borderId="1" xfId="0" applyFont="1" applyBorder="1" applyAlignment="1">
      <alignment wrapText="1"/>
    </xf>
    <xf numFmtId="0" fontId="0" fillId="0" borderId="3" xfId="0" applyBorder="1" applyAlignment="1">
      <alignment wrapText="1"/>
    </xf>
    <xf numFmtId="0" fontId="0" fillId="0" borderId="5" xfId="0" applyBorder="1" applyAlignment="1">
      <alignment vertical="center" wrapText="1"/>
    </xf>
    <xf numFmtId="0" fontId="0" fillId="0" borderId="6" xfId="0" applyBorder="1" applyAlignment="1">
      <alignment vertical="center" wrapText="1"/>
    </xf>
    <xf numFmtId="0" fontId="2" fillId="0" borderId="6" xfId="0" applyFont="1" applyBorder="1"/>
    <xf numFmtId="0" fontId="2" fillId="0" borderId="7" xfId="0" applyFont="1" applyBorder="1"/>
    <xf numFmtId="0" fontId="0" fillId="0" borderId="8" xfId="0" applyBorder="1" applyAlignment="1">
      <alignment vertical="center" wrapText="1"/>
    </xf>
    <xf numFmtId="0" fontId="2" fillId="0" borderId="9" xfId="0" applyFont="1" applyBorder="1"/>
    <xf numFmtId="0" fontId="0" fillId="0" borderId="8" xfId="0" applyBorder="1" applyAlignment="1">
      <alignment wrapText="1"/>
    </xf>
    <xf numFmtId="0" fontId="0" fillId="0" borderId="10" xfId="0" applyBorder="1" applyAlignment="1">
      <alignment wrapText="1"/>
    </xf>
    <xf numFmtId="0" fontId="0" fillId="0" borderId="9" xfId="0" applyBorder="1" applyAlignment="1">
      <alignment wrapText="1"/>
    </xf>
    <xf numFmtId="0" fontId="3" fillId="0" borderId="8" xfId="0" applyFont="1"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4" xfId="0" applyBorder="1" applyAlignment="1">
      <alignment wrapText="1"/>
    </xf>
    <xf numFmtId="0" fontId="4" fillId="2" borderId="4" xfId="0" applyFont="1" applyFill="1" applyBorder="1" applyAlignment="1">
      <alignment wrapText="1"/>
    </xf>
    <xf numFmtId="0" fontId="5" fillId="2" borderId="4" xfId="0" applyFont="1" applyFill="1" applyBorder="1" applyAlignment="1">
      <alignment wrapText="1"/>
    </xf>
    <xf numFmtId="0" fontId="6" fillId="0" borderId="0" xfId="0" applyFont="1"/>
    <xf numFmtId="0" fontId="0" fillId="0" borderId="5" xfId="0" applyBorder="1" applyAlignment="1">
      <alignment vertical="center"/>
    </xf>
    <xf numFmtId="0" fontId="0" fillId="0" borderId="1" xfId="0" applyBorder="1" applyAlignment="1">
      <alignment vertical="center"/>
    </xf>
    <xf numFmtId="0" fontId="1" fillId="0" borderId="1" xfId="1" applyBorder="1" applyAlignment="1"/>
    <xf numFmtId="0" fontId="0" fillId="0" borderId="1" xfId="0" applyBorder="1"/>
    <xf numFmtId="0" fontId="0" fillId="0" borderId="14" xfId="0" applyBorder="1"/>
    <xf numFmtId="0" fontId="0" fillId="0" borderId="15" xfId="0" applyBorder="1"/>
    <xf numFmtId="0" fontId="0" fillId="0" borderId="13" xfId="0" applyBorder="1"/>
    <xf numFmtId="0" fontId="0" fillId="0" borderId="10" xfId="0" applyBorder="1"/>
    <xf numFmtId="0" fontId="2" fillId="0" borderId="0" xfId="0" applyFont="1"/>
    <xf numFmtId="0" fontId="3" fillId="0" borderId="0" xfId="0" applyFont="1"/>
    <xf numFmtId="0" fontId="3" fillId="0" borderId="0" xfId="0" applyFont="1" applyAlignment="1">
      <alignment wrapText="1"/>
    </xf>
    <xf numFmtId="0" fontId="7" fillId="0" borderId="0" xfId="0" applyFont="1"/>
    <xf numFmtId="0" fontId="2" fillId="0" borderId="9" xfId="0" applyFont="1" applyBorder="1" applyAlignment="1">
      <alignment wrapText="1"/>
    </xf>
    <xf numFmtId="0" fontId="1" fillId="0" borderId="0" xfId="1"/>
    <xf numFmtId="0" fontId="0" fillId="3" borderId="8" xfId="0" applyFill="1" applyBorder="1" applyAlignment="1">
      <alignment vertical="center"/>
    </xf>
    <xf numFmtId="0" fontId="0" fillId="3" borderId="8" xfId="0" applyFill="1" applyBorder="1"/>
    <xf numFmtId="0" fontId="4" fillId="3" borderId="4" xfId="0" applyFont="1" applyFill="1" applyBorder="1"/>
    <xf numFmtId="0" fontId="5" fillId="3" borderId="4" xfId="0" applyFont="1" applyFill="1" applyBorder="1"/>
    <xf numFmtId="0" fontId="5" fillId="4" borderId="4" xfId="0" applyFont="1" applyFill="1" applyBorder="1"/>
    <xf numFmtId="0" fontId="4" fillId="4" borderId="4" xfId="0" applyFont="1" applyFill="1" applyBorder="1"/>
    <xf numFmtId="0" fontId="0" fillId="3" borderId="10" xfId="0" applyFill="1" applyBorder="1"/>
    <xf numFmtId="0" fontId="1" fillId="0" borderId="13" xfId="1" applyBorder="1"/>
    <xf numFmtId="0" fontId="9" fillId="3" borderId="0" xfId="0" applyFont="1" applyFill="1" applyAlignment="1">
      <alignment wrapText="1"/>
    </xf>
    <xf numFmtId="0" fontId="0" fillId="5" borderId="4" xfId="0" applyFill="1" applyBorder="1" applyAlignment="1">
      <alignment wrapText="1"/>
    </xf>
    <xf numFmtId="0" fontId="10" fillId="0" borderId="0" xfId="0" applyFont="1"/>
    <xf numFmtId="0" fontId="1" fillId="0" borderId="0" xfId="1" applyAlignment="1">
      <alignment wrapText="1"/>
    </xf>
    <xf numFmtId="0" fontId="0" fillId="6" borderId="10" xfId="0" applyFill="1" applyBorder="1"/>
    <xf numFmtId="0" fontId="1" fillId="0" borderId="13" xfId="1" applyBorder="1" applyAlignment="1"/>
    <xf numFmtId="0" fontId="2" fillId="0" borderId="0" xfId="0" applyFont="1" applyAlignment="1">
      <alignment wrapText="1"/>
    </xf>
    <xf numFmtId="0" fontId="8" fillId="6" borderId="0" xfId="1" applyFont="1" applyFill="1" applyBorder="1" applyAlignment="1">
      <alignment wrapText="1"/>
    </xf>
    <xf numFmtId="0" fontId="0" fillId="5" borderId="0" xfId="0" applyFill="1" applyAlignment="1">
      <alignment wrapText="1"/>
    </xf>
    <xf numFmtId="0" fontId="0" fillId="5" borderId="6" xfId="0" applyFill="1" applyBorder="1" applyAlignment="1">
      <alignment vertical="center" wrapText="1"/>
    </xf>
    <xf numFmtId="0" fontId="0" fillId="5" borderId="1" xfId="0" applyFill="1" applyBorder="1" applyAlignment="1">
      <alignment wrapText="1"/>
    </xf>
    <xf numFmtId="0" fontId="0" fillId="0" borderId="0" xfId="0" applyAlignment="1">
      <alignment vertical="center"/>
    </xf>
    <xf numFmtId="0" fontId="1" fillId="0" borderId="1" xfId="1" applyFill="1" applyBorder="1" applyAlignment="1">
      <alignment vertical="center" wrapText="1"/>
    </xf>
    <xf numFmtId="0" fontId="0" fillId="5" borderId="1" xfId="0" applyFill="1" applyBorder="1" applyAlignment="1">
      <alignment vertical="center" wrapText="1"/>
    </xf>
    <xf numFmtId="0" fontId="0" fillId="7" borderId="1" xfId="0" applyFill="1" applyBorder="1" applyAlignment="1">
      <alignment vertical="center" wrapText="1"/>
    </xf>
    <xf numFmtId="0" fontId="0" fillId="3" borderId="13" xfId="0" applyFill="1" applyBorder="1" applyAlignment="1">
      <alignment vertical="center"/>
    </xf>
    <xf numFmtId="0" fontId="0" fillId="7" borderId="0" xfId="0" applyFill="1" applyAlignment="1">
      <alignment vertical="center" wrapText="1"/>
    </xf>
    <xf numFmtId="0" fontId="0" fillId="0" borderId="0" xfId="0" applyAlignment="1">
      <alignment vertical="center" wrapText="1"/>
    </xf>
    <xf numFmtId="0" fontId="1" fillId="0" borderId="0" xfId="1" applyBorder="1" applyAlignment="1"/>
    <xf numFmtId="0" fontId="0" fillId="7" borderId="0" xfId="0" applyFill="1"/>
    <xf numFmtId="0" fontId="11" fillId="0" borderId="16" xfId="0" applyFont="1" applyBorder="1" applyAlignment="1">
      <alignment wrapText="1"/>
    </xf>
    <xf numFmtId="0" fontId="11" fillId="0" borderId="17" xfId="0" applyFont="1" applyBorder="1" applyAlignment="1">
      <alignment wrapText="1"/>
    </xf>
    <xf numFmtId="0" fontId="0" fillId="7" borderId="0" xfId="0" applyFill="1" applyAlignment="1">
      <alignment wrapText="1"/>
    </xf>
    <xf numFmtId="0" fontId="12" fillId="0" borderId="0" xfId="0" applyFont="1" applyAlignment="1">
      <alignment wrapText="1"/>
    </xf>
    <xf numFmtId="14" fontId="0" fillId="0" borderId="0" xfId="0" applyNumberFormat="1"/>
    <xf numFmtId="164" fontId="0" fillId="0" borderId="0" xfId="0" applyNumberFormat="1"/>
    <xf numFmtId="2" fontId="0" fillId="0" borderId="0" xfId="0" applyNumberFormat="1"/>
    <xf numFmtId="0" fontId="0" fillId="4" borderId="0" xfId="0" applyFill="1"/>
    <xf numFmtId="0" fontId="0" fillId="8" borderId="0" xfId="0" applyFill="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uk/itm/204669662830" TargetMode="External"/><Relationship Id="rId2" Type="http://schemas.openxmlformats.org/officeDocument/2006/relationships/hyperlink" Target="https://fulhamtimber.co.uk/checkout" TargetMode="External"/><Relationship Id="rId1" Type="http://schemas.openxmlformats.org/officeDocument/2006/relationships/hyperlink" Target="https://www.amazon.co.uk/GXYWADY-Master-Cylinder-Replacement-Rebuild/dp/B0CH3CTZ4F/ref=sr_1_1?dib=eyJ2IjoiMSJ9.6JNiA91wPg11dpNu-uDXeXTu5H9Q8Hbqk42hSsmj9G-tYq6BM_3skaf8Lt_zgGMKdZXPtL4TGCHMoTdxgOIijnNkS7Cl-r2DJl3VTFXK1xnYyU46EPFHwUoy63yPavYxkUJ1RM-VZP5e962j0HD3hoTvnPA7-oDg4cDwrZlNdhoDuYG4xZkSiWbor8J2gHnxpo8yvKyShjiKFEhhf3vw2d8XgrpjgAM1iB6efQuMq5UPtbiyTAQRcoqOOE5gwW-x6aYJiiPxJDVuTSPv7jzm7d3Ds7wV6pXWyEEtFu0_V_Q.vtshT8tpL4gkxtCHxqzZoJas7rCR-7B0d4FqXRDAdtY&amp;dib_tag=se&amp;keywords=36+inch+rear+axle+kit&amp;nsdOptOutParam=true&amp;qid=1728219795&amp;sr=8-1" TargetMode="External"/><Relationship Id="rId4" Type="http://schemas.openxmlformats.org/officeDocument/2006/relationships/hyperlink" Target="https://www.diy.com/departments/diall-m10-carbon-steel-medium-flat-washer-dia-10mm-pack-of-20/3663602753605_BQ.pr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amazon.co.uk/gp/product/B0D8FKB8HJ/ref=ewc_pr_img_1?smid=A23LPY0XMLU7QZ&amp;th=1" TargetMode="External"/><Relationship Id="rId13" Type="http://schemas.openxmlformats.org/officeDocument/2006/relationships/hyperlink" Target="https://www.fastco.co.uk/coach-bolts-m8-x-200mm-zinc-plated-with-nuts-pack-of-25.html?gad_source=1&amp;gclid=CjwKCAiAzPy8BhBoEiwAbnM9OwKXxAxkFmxLlWusxNLkVeA1nNnrjy58zEfqvEjaniK_l7NG2k72lhoC_IMQAvD_BwE" TargetMode="External"/><Relationship Id="rId18" Type="http://schemas.openxmlformats.org/officeDocument/2006/relationships/hyperlink" Target="https://www.amazon.co.uk/sourcing-map-Stainless-Factories-Construction/dp/B0DDX11MCF/ref=sr_1_4?crid=15F5UJ7U7GLS1&amp;dib=eyJ2IjoiMSJ9.Iv-xfT64IPqG1dGr2NITjytpGGaqlXPRTPIqcXGGWenDLc_exVfdvCzLX25CP-nGnf_2kxPwTIDDKg_LOdoaN0IkwnI03TlhsEnJQiffhjH3KGCgFyhPyKL8SCQyBb2kW-K6yGE-rAQFZDFttRcM5YVB9ev0XWkv4uVN9_PNGvy7zBe75e4P2eaTsvemxJCXNVhmiX5aKx83N7ax4b_pbIAOQIMPiCPeAdyFRx8g8bgz1F9vHnEv2lOyb5VuJJ_-5y9LCx5aS1vJ9HsnRzAUgnVVG3LmHnOdEz1HSXsuSpNoPEJEEtFWf6NTwVtSm_E3IVKGXvjdnLsTSCGDffYpIN0K0Dx8Qh_zYjkBW4HBrTY.D9nkZ7-75davPgEN5RZ7NYR3UML9il1EQpJbi155tzA&amp;dib_tag=se&amp;keywords=m10%2Bbolt%2Bwashers%2B100pcs&amp;qid=1740856305&amp;s=industrial&amp;sprefix=m10%2Bbolt%2Bwashers%2B100pcs%2Cindustrial%2C56&amp;sr=1-4&amp;th=1" TargetMode="External"/><Relationship Id="rId3" Type="http://schemas.openxmlformats.org/officeDocument/2006/relationships/hyperlink" Target="https://www.ebay.co.uk/itm/204669662830" TargetMode="External"/><Relationship Id="rId21" Type="http://schemas.openxmlformats.org/officeDocument/2006/relationships/hyperlink" Target="https://www.amazon.co.uk/Ejoyous-Replacement-Industrial-Agricultural-Air-Cooled/dp/B08VDQGQ27/ref=sr_1_5?dib=eyJ2IjoiMSJ9.fcwco9gx_NJeJrqLN_ejJzktR_G-f0qoU3bGH5i9seVFZ2ste6iZGOQTx0Kjy0fnp64jkD8NZ9BZYrDXaNFVswHK_SJmlRScM4KSGqjKaDH-RXHidWqfCMvH9spU7W1Wa82TKVmsNO3S7-BuGQSQTiz1z5uF4DjBWriEAHqPft_PSOCFWipIKsYUSNImD_-fxaG1iT9_Jrm3ZeMu9bc9Gp-bEIwLMKm4hAL-jIzWClI.QcyiH1B1XjjBzNuCx__dSvYZZBt-Ws969OAY2AzWnCg&amp;dib_tag=se&amp;keywords=6.5hp+engine&amp;qid=1738700015&amp;sr=8-5" TargetMode="External"/><Relationship Id="rId7" Type="http://schemas.openxmlformats.org/officeDocument/2006/relationships/hyperlink" Target="https://www.ebay.co.uk/itm/166542584938?chn=ps&amp;_ul=GB&amp;_trkparms=ispr%3D1&amp;amdata=enc%3A1l7DuBbc9SmK8IHs61hV0pQ47&amp;norover=1&amp;mkevt=1&amp;mkrid=710-134428-41853-0&amp;mkcid=2&amp;mkscid=101&amp;itemid=166542584938&amp;targetid=2360873003490&amp;device=c&amp;mktype=pla&amp;googleloc=9044906&amp;poi=&amp;campaignid=21690875706&amp;mkgroupid=169793746720&amp;rlsatarget=pla-2360873003490&amp;abcId=10027099&amp;merchantid=115236306&amp;gad_source=1&amp;gclid=CjwKCAiA8Lu9BhA8EiwAag16b8FUNG5_zo0M1CzuSnZsN3YyqKe9evkqRqb0ZTJO5kC12IvQw7Kl5RoCeugQAvD_BwE" TargetMode="External"/><Relationship Id="rId12" Type="http://schemas.openxmlformats.org/officeDocument/2006/relationships/hyperlink" Target="https://www.amazon.co.uk/SEBLAFF-Assembly-Shaft-Chain-Brake/dp/B0BP1V2691/ref=sr_1_2?crid=1X8SBGDQF1Y1T&amp;dib=eyJ2IjoiMSJ9.wj6UGutKkZ0k5IEJRLekCff9LKgIihUaYjIiZ-Q6CESGgNG7i7H2VVMSHTndKo1-Jf5aVyxpx8Tw1IxHm_pXmNCulgkU1N9Q4P9YD66WjV3Z9hIqRZRkEjbT_4k8UpjpqPUwaP9Q4NHRF1k8NIItPEUdxKztwnflzZlk8MGzfLXtnaJG7RUT-_0AOy76FmZ3zY-3nILe0ll5dXT15SMwWO3-QeEecRI1Zu-UpJnmpTE.VL3K3_PCf_GOucnUItHBTSgRQoffLRBriD8PtP-DPFE&amp;dib_tag=se&amp;keywords=go+kart+rear+axle+kit&amp;qid=1740679747&amp;sprefix=rear+axle+ki%2Caps%2C95&amp;sr=8-2" TargetMode="External"/><Relationship Id="rId17" Type="http://schemas.openxmlformats.org/officeDocument/2006/relationships/hyperlink" Target="https://www.amazon.co.uk/M10-Washers-Stainless-Spacers-25-50PCS/dp/B0D8HWSD57/ref=sr_1_6?crid=1QJ4V9BDFV4B&amp;dib=eyJ2IjoiMSJ9.Wv92pTyCxQQt2tJzGlWFHy80CJS0cVWpQyf5fnZfvaY-zZIXeVLPFKJGYQ8pLkUDins3cAph6Gmejep9akNmPkS3tIkT_8wny3zU8riS3BCostGAOulv1T036w0xytifV5fYjjZmuGyRpWyqJDZcZ8qWZIYnjrDaGX9teXLIs0EFODNBeIWV465oNHEOkuqOhWTTa4YIBfLCQ5nbLGaEX8Z313ZGuzBetcapkkkd3MaaStP7uZri8qG_8td6KmwiBiGDuvsZJb1WhRYyBSzdSNrYvGE3PFWzGE5Uw2aYV69vgeG8dTdoJ4qGAMXwp1_LlbYCwWviIzRcLHNCe2KLc7pH0Uz5LRGK1HXByctGpz4.iEZyg5x33gZof9mQ1yKxr-xiZTuv03Ed9mHhZDyhM2s&amp;dib_tag=se&amp;keywords=m10%2Bbolt%2Bwashers&amp;qid=1740781872&amp;s=industrial&amp;sprefix=m10%2Bbolt%2Bwashers%2Cindustrial%2C65&amp;sr=1-6&amp;th=1" TargetMode="External"/><Relationship Id="rId25" Type="http://schemas.openxmlformats.org/officeDocument/2006/relationships/hyperlink" Target="https://www.amazon.co.uk/4inch-Centrifugal-Clutch-Tooth-Chain/dp/B07WGD2NXP/ref=sr_1_4?crid=3855PVNHCYGMP&amp;dib=eyJ2IjoiMSJ9.T6ZOODuvqSRxiJFAkxrxRmYnbIc4VdZVw2MsBRP6-kKgLzDPLVbuMQCIWkcQ3k5ULOloPayW-zqtAKE1KKxIlvp30YpP09nj-GBQw1UC6A1WTyPQLRRRkhizgExn1bAmvskWHB0q93_Jf56LxFX4U7WKDtLs0IP_oWTKTiDiiuoJPJ4xApoz0MZjWlcS1541sCXiyfDzXvrFhxFxT4SK658QdHUSgvmW2V6i49NU9JoETXKkM22_UFb_iYUPCmNAPJ-og6fuf2dZfp-i9o-U_-5GhtohJXEuNrZKWmQsr_XNv_gamI09jzd0iu2CBpzx0bQOd77eDWzd3ZqR5el3RibbbQzHAH_GutZvOJYW832vR4m2hTD-hhR0mSeEfBnRhlRZQymvdBEmpAMGJqgMD16gspJ-R0ErZ0z3UoTEwK6Sic-S9BZg4j3rtZjacCsK.fkLP0YTfqnh1Jn0CUzEbzwTFaZLaMOv71OHLhNOZnK8&amp;dib_tag=se&amp;keywords=3%2F4+sprocket+clutch&amp;qid=1743099436&amp;s=industrial&amp;sprefix=3%2F4+sprocket+clutch%2Cindustrial%2C72&amp;sr=1-4-catcorr" TargetMode="External"/><Relationship Id="rId2" Type="http://schemas.openxmlformats.org/officeDocument/2006/relationships/hyperlink" Target="https://fulhamtimber.co.uk/checkout" TargetMode="External"/><Relationship Id="rId16" Type="http://schemas.openxmlformats.org/officeDocument/2006/relationships/hyperlink" Target="https://www.screwfix.com/p/easyfix-general-purpose-threaded-coach-bolts-carbon-steel-bright-zinc-plated-m10-x-180mm-50-pack/54709" TargetMode="External"/><Relationship Id="rId20" Type="http://schemas.openxmlformats.org/officeDocument/2006/relationships/hyperlink" Target="https://www.amazon.co.uk/Disposable-Examination-Preparation-Cleaning-Multi-Purpose/dp/B0D4DZD4LM/ref=sr_1_4?crid=17FYM30G1826L&amp;dib=eyJ2IjoiMSJ9.vOEczs2J6sL28CdBf1O_CnouRQ1-WMOAmX9LQAlrvfJ6glpvqV9JfO8N50quq73aS0yB5v9-xcDwedx0TiGyFfMbBcq1dQbNm6iKdcsBHVUGsk31JCf-xUmsXnNV0XNgMHsr03EedW5iI5iFvIdqZkjpHXS9mEhneEPSc_BXoyPaovShl1Vzk-AGq_YAufYe43IsEFlBWw0mNpmIQkDsXsabL--L01fstyWzs1FKcFYz_icD01BmXCxQm0fMPLyD8ZTgNQPL6_tirDQt5X-5Eku2jD4vuWcuC18UZ_APC9RWs6AN4K4_W9MtUSajm33XMdtztweeFi7VL5kF2OcMrX7cUO6df_KOm_Eu77uOYnM.a0S5E5pbffUttzFyqu2X70hJfIes2i5Gqx7r9XowAhM&amp;dib_tag=se&amp;keywords=gloves%2Bdisposable%2Bmedium&amp;qid=1740856921&amp;refinements=p_n_feature_two_browse-bin%3A28138565031%2Cp_36%3A300-800&amp;rnid=118657031&amp;s=diy&amp;sprefix=gloves%2Caps%2C88&amp;sr=1-4&amp;th=1" TargetMode="External"/><Relationship Id="rId1" Type="http://schemas.openxmlformats.org/officeDocument/2006/relationships/hyperlink" Target="https://www.amazon.co.uk/GXYWADY-Master-Cylinder-Replacement-Rebuild/dp/B0CH3CTZ4F/ref=sr_1_1?dib=eyJ2IjoiMSJ9.6JNiA91wPg11dpNu-uDXeXTu5H9Q8Hbqk42hSsmj9G-tYq6BM_3skaf8Lt_zgGMKdZXPtL4TGCHMoTdxgOIijnNkS7Cl-r2DJl3VTFXK1xnYyU46EPFHwUoy63yPavYxkUJ1RM-VZP5e962j0HD3hoTvnPA7-oDg4cDwrZlNdhoDuYG4xZkSiWbor8J2gHnxpo8yvKyShjiKFEhhf3vw2d8XgrpjgAM1iB6efQuMq5UPtbiyTAQRcoqOOE5gwW-x6aYJiiPxJDVuTSPv7jzm7d3Ds7wV6pXWyEEtFu0_V_Q.vtshT8tpL4gkxtCHxqzZoJas7rCR-7B0d4FqXRDAdtY&amp;dib_tag=se&amp;keywords=36+inch+rear+axle+kit&amp;nsdOptOutParam=true&amp;qid=1728219795&amp;sr=8-1" TargetMode="External"/><Relationship Id="rId6" Type="http://schemas.openxmlformats.org/officeDocument/2006/relationships/hyperlink" Target="https://www.amazon.co.uk/ZENO-Pneumatic-Wheelbarrow-Puncture-Replacement/dp/B0BBKXVZ4G/ref=sr_1_13_sspa?dib=eyJ2IjoiMSJ9.A3OOQI0_Zv-fo18qNzdqTmxP0r7wTFkRvhcTcSbwpBPvszur4SN1Q1apeLngrmvNcu7vUdwZsfugdFv7DMdo0gQuJxI1moLNRtHKMiri1hJS8MKFt2gp3L2R-5zekSb64ot14EGvSoIcmMjte0-bVNUt3yluLnT4ugRRzaeIkIhBUhFCJxYDYiLwd4JzYhxImPQ62vt91eZbMvs-I_U_wkl9rSDSAmiqyqgltgCXHRCB4m1mOrIih7_bnp8GJE8pVP_V2P79LMwAditg-lQFbkpDm9P-PYybokWQ2w34w_U.NpfzG7XFxJUR7-twmqepLcpjDf4bwQytvQa2rpCzBUE&amp;dib_tag=se&amp;keywords=go+kart+wheels&amp;qid=1728220361&amp;s=automotive&amp;sr=1-13-spons&amp;sp_csd=d2lkZ2V0TmFtZT1zcF9tdGY&amp;psc=1" TargetMode="External"/><Relationship Id="rId11" Type="http://schemas.openxmlformats.org/officeDocument/2006/relationships/hyperlink" Target="https://www.amazon.co.uk/Waterproof-waterproof-tarpaulin-camping-painting/dp/B084G9DX33/ref=sr_1_15?crid=1T2Y1D7K1ZA31&amp;dib=eyJ2IjoiMSJ9.RRehQBCu4zwShToIZrZHrxkzTH9fG6n3h28scCe_M5SPd2nRaAg3eAirXUxaz0KA8S_X4dKpzm7tVnKWKS1IV7UHv2w0_uy85s0BVqkeuavJw3St0HzsyM-HxAvcODlqJ62CPZTHEfs3jL0CSDm1H-YN2KDp_SE295tssA2CTGWKFfSaunchbb4W9j_gzPN2pUVCWFGCXUiWha-vkHCVbUWKmy_-0bmhYsFNL4ypGqAKBDxXN0cm9vusWPHVEFvS_qJPW5CY619ic5m_bC3a6HpGpGnaIstbyoYizGjEY-VSGzojlizQ5TiT4e-8xiSDS2OlNE17UxMYl5BAW6LpBEZ1oVXGh07iJPOQ74qkaeBEB7N31OOtJpaKh4nBRRWXF2eHJbVQYhPeuVdCTpacqPj1MznL94GBrfKCptDrlOcNn7MJo7lnGLk_09UAv2XX.x8qMRw7VhD9inegOy9eyD6E_newGbdoRWsglkElJtOg&amp;dib_tag=se&amp;keywords=tarpaulin+3m+x+3m&amp;qid=1740679059&amp;sprefix=tarpaulin+3m+x+3m%2Caps%2C92&amp;sr=8-15" TargetMode="External"/><Relationship Id="rId24" Type="http://schemas.openxmlformats.org/officeDocument/2006/relationships/hyperlink" Target="https://www.amazon.co.uk/Sprocket-Stable-Saving-Mounting-Maintenance/dp/B09XVNZZNQ/ref=sr_1_10?crid=3EDC6GP6S1FDU&amp;dib=eyJ2IjoiMSJ9.nvlhycfck24I64AWkRJtosrKOBZOaIgll5HC3FRB9ks0cu0S1LwGQJLuq0Ldg3n8SiDHKJV6jjj3eDYvLBvxNBOYmWG55ZH_dQbPJV2EuodBvq3pYRHqM25Sj32kyjn2XUGGJFJD70kU3WiawPYMnQ4jaWrXUDf5RF9iM5IWbuhScFRr8nHKPNqqT9lfZANDan9Nu8sSO49rt5f5gPaIxrpHICIpj91BIgDuqZO-eGk83jOI3TH9zzwfXYlPOWIKF5P3e3Bn4WWC-LI7kpxNIHEhL0Jb3pXgN_VtmMHZ27ZTdn2JhI-A_swY8zCIuzb6iSz62iYK_k7OQY7Xtw6uIsCbGF8t1Y9oEpS2UIJ13R5oxwdDrGK2hxUG5Xh_JpQ60JloZ0zef_vAREGIVBijYb9saGnTWBhd5Z0EtiIjnV7sl88MGsqOG_Wn8SFMxhnU.Tm4RHnPb4bX9e2nwH-03_s7AhPSXIQIUVx948wFh-vI&amp;dib_tag=se&amp;keywords=%2335+rear+sprocket&amp;qid=1743109152&amp;sprefix=%2335+rear+sprocket%2Caps%2C54&amp;sr=8-10" TargetMode="External"/><Relationship Id="rId5" Type="http://schemas.openxmlformats.org/officeDocument/2006/relationships/hyperlink" Target="https://www.amazon.co.uk/Ejoyous-Replacement-Industrial-Agricultural-Air-Cooled/dp/B08VDQGQ27/ref=sr_1_5?dib=eyJ2IjoiMSJ9.fcwco9gx_NJeJrqLN_ejJzktR_G-f0qoU3bGH5i9seVFZ2ste6iZGOQTx0Kjy0fnp64jkD8NZ9BZYrDXaNFVswHK_SJmlRScM4KSGqjKaDH-RXHidWqfCMvH9spU7W1Wa82TKVmsNO3S7-BuGQSQTiz1z5uF4DjBWriEAHqPft_PSOCFWipIKsYUSNImD_-fxaG1iT9_Jrm3ZeMu9bc9Gp-bEIwLMKm4hAL-jIzWClI.QcyiH1B1XjjBzNuCx__dSvYZZBt-Ws969OAY2AzWnCg&amp;dib_tag=se&amp;keywords=6.5hp+engine&amp;qid=1738700015&amp;sr=8-5" TargetMode="External"/><Relationship Id="rId15" Type="http://schemas.openxmlformats.org/officeDocument/2006/relationships/hyperlink" Target="https://www.toolstation.com/spax-t-star-plus-flat-csk-wirox-coated/p65484" TargetMode="External"/><Relationship Id="rId23" Type="http://schemas.openxmlformats.org/officeDocument/2006/relationships/hyperlink" Target="https://www.amazon.co.uk/ZENO-Pneumatic-Wheelbarrow-Puncture-Replacement/dp/B0BBGB2XVX/ref=sxin_15_pa_sp_search_thematic_sspa?content-id=amzn1.sym.ef88c0ed-6e25-412d-9436-2578b3d9875e%3Aamzn1.sym.ef88c0ed-6e25-412d-9436-2578b3d9875e&amp;crid=15CI4FUJTMW0H&amp;cv_ct_cx=wheelbarrow+wheel&amp;keywords=wheelbarrow+wheel&amp;pd_rd_i=B0BBGB2XVX&amp;pd_rd_r=994d4314-c0a0-4258-a785-5f7697fa8c1d&amp;pd_rd_w=brVPp&amp;pd_rd_wg=27Gum&amp;pf_rd_p=ef88c0ed-6e25-412d-9436-2578b3d9875e&amp;pf_rd_r=KHZNCH65TJDRMHDB0VT4&amp;qid=1741809775&amp;sbo=RZvfv%2F%2FHxDF%2BO5021pAnSA%3D%3D&amp;sprefix=wheelb%2Caps%2C85&amp;sr=1-4-ad3222ed-9545-4dc8-8dd8-6b2cb5278509-spons&amp;sp_csd=d2lkZ2V0TmFtZT1zcF9zZWFyY2hfdGhlbWF0aWM&amp;psc=1" TargetMode="External"/><Relationship Id="rId10" Type="http://schemas.openxmlformats.org/officeDocument/2006/relationships/hyperlink" Target="https://www.amazon.co.uk/Aobbmok-Roller-Chain-Connecting-Replacements/dp/B079L6DQFF/ref=pd_day0fbt_thbs_d_sccl_1/259-3488854-4744615?pd_rd_w=jKCaj&amp;content-id=amzn1.sym.aa5f0976-1480-46a8-ac3e-86a6a439835e&amp;pf_rd_p=aa5f0976-1480-46a8-ac3e-86a6a439835e&amp;pf_rd_r=HX0836965GSJCRFJ6KS3&amp;pd_rd_wg=NJ9Jm&amp;pd_rd_r=83db4dfe-48cc-42f2-b1ae-9c0e992baff9&amp;pd_rd_i=B079L6DQFF&amp;th=1" TargetMode="External"/><Relationship Id="rId19" Type="http://schemas.openxmlformats.org/officeDocument/2006/relationships/hyperlink" Target="https://www.amazon.co.uk/Abena-Type-Disposable-Face-Loops/dp/B08P35F6RH/ref=sr_1_8?dib=eyJ2IjoiMSJ9.L5xN-e2hGi8iM12q_pDz_-3_cmfrnhB9MxvOgO0VQXYpDXE3MDFveaYkQRMrfamtkPdQNoTUMFdPgAICbbmKCznuzlHLBXI0ji22oyBWCEKGW2R8tWZuE4zUeHcbuiSNw6zYdwDlX3hgUA9jLeoqvSKG8g_F-zeiD98tUmpl1EX3EEg2Li8K_ye1w6UbNHLu0t2cr5OZcBI3j_x4lbTy4SVzc5f_ecfgiwiJY8D6577qN9sGj9FdJ167zRGZCzc5usY_fG9UBP8G2iiSchBUpJ9CmDDZUJGcMJtuAqN53Oa7gv3VN6Cz4aq57bVb1GZTVnZ1YzNNtH_U5ahVXSKpg0L6ttEaRKfOSWXVPeCzJhbHHhiWqLYU2SKVtR5lZU-bygGve2UHRRaMypiyy4PNvOmLDuEupmuvBH_UYSX_pLOzoTZW8jc9J2qdXt1NieDH.KIz762eLoQpzNp26FM5sqyxq1VQs45O7T8eg9UUtXTA&amp;dib_tag=se&amp;keywords=surgical+mask&amp;qid=1740856762&amp;sr=8-8" TargetMode="External"/><Relationship Id="rId4" Type="http://schemas.openxmlformats.org/officeDocument/2006/relationships/hyperlink" Target="https://www.amazon.co.uk/gp/product/B085QDNHW1/ref=ewc_pr_img_1?smid=A37TFEBGRT7K24&amp;th=1" TargetMode="External"/><Relationship Id="rId9" Type="http://schemas.openxmlformats.org/officeDocument/2006/relationships/hyperlink" Target="https://www.ebay.co.uk/itm/205128657932?_trkparms=amclksrc%3DITM%26aid%3D1110006%26algo%3DHOMESPLICE.SIM%26ao%3D1%26asc%3D280672%2C281315%2C281326%2C280571%26meid%3D186a944cd9784cf1a6b137a5c75fcfd1%26pid%3D101875%26rk%3D2%26rkt%3D4%26sd%3D204669662830%26itm%3D205128657932%26pmt%3D1%26noa%3D0%26pg%3D2332490%26algv%3DSimVIDwebV3WithCPCExpansionEmbeddingSearchQuerySemanticBroadMatchSingularityRecallReplaceKnnV4WithVectorDbNsOptHotPlRecall%26brand%3DVEVOR&amp;_trksid=p2332490.c101875.m1851&amp;itmprp=cksum%3A205128657932186a944cd9784cf1a6b137a5c75fcfd1%7Cenc%3AAQAKAAABYHKEKKNMUePryBh1zZl0qrjonWK6%252Bbjh8v6%252FxTRbw1Loxqx736BoO2V7ozv6W4xuOBJjwGhPLWk9lnRB2teM6PFgOrZGVcTwpTth7MW79p066SWQrB1VasW1Di58xl1RMBXsH%252BaNxpzil0t8bdqbPkgJlZgvtHVYNSkxo5xG%252Bq21uJ4ns5oIp0ta3NI6ZOVv22RmL5ZD86%252Fs3DP06JHUohRrLvoTlSPvpz0IFHkhiQAz4o%252FeuAjUk73y3tqLCMOhz7cM5h7re4x3yp8Xk2w2VjMSH5FoJe8NyU00QOcSiB56p9dnvhRmEd7W3HS3lZUHCzK%252FjP9tiLySBCuOh7xHb7HQnaLehOXntAZHAwbjDaSFb0AeUTskrRRhhiEMY5MWOvPc1IMf2zOoZL7CMYbX9k3as7Gk5hedGOPp4tyylPApZ%252Fkx1hUWZK2XGvM6XB9F7v4HuDpRM0MUGiM%252F9rwRvBM%253D%7Campid%3APL_CLK%7Cclp%3A2332490&amp;itmmeta=01JN48DZH8QG5DKRW28M5HQEG8" TargetMode="External"/><Relationship Id="rId14" Type="http://schemas.openxmlformats.org/officeDocument/2006/relationships/hyperlink" Target="https://www.screwfix.com/p/easyfix-general-purpose-coach-bolts-carbon-steel-bright-zinc-plated-m8-x-130mm-50-pack/19959" TargetMode="External"/><Relationship Id="rId22" Type="http://schemas.openxmlformats.org/officeDocument/2006/relationships/hyperlink" Target="https://www.amazon.co.uk/MediHands-Powder-Gloves-Disposable-Medium/dp/B07L5MYF5V/ref=sr_1_25_sspa?dib=eyJ2IjoiMSJ9.HBkem1QGlMoz6ZjJK2sr93dLGCjfdpb8WLYFzwRjGvvs7fhtxYJQk8ubcuNAEYWSt4uCgKLTakYRARSevDGzpoYaIc0aWIklTpgkj0RwARJnISdxTBrcfA79Tc_D7N5iTXtL9DbBd1BvbEAnutM89mYgMz1Rdb30M_rmM267__zjvSusZg2zBTknF8QQAbIIo4RfRyS1uOa1yOzVvR6oj1gZgH6FcNQHeTJbv9gWRnitMn5nQdZlRVAhYqGLcWxSCpMYr6G5UYbezode-uXMZg4kdHh2UKgpg6tQcA5yno4.2D2Gek5ZpYriwTerGB1HI4TySxmzowpiW3o6xTg0Sbk&amp;dib_tag=se&amp;keywords=disposable%2BGloves&amp;qid=1740858307&amp;refinements=p_36%3A300-1100&amp;rnid=118657031&amp;s=diy&amp;sr=1-25-spons&amp;sp_csd=d2lkZ2V0TmFtZT1zcF9idGY&amp;th=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mazon.co.uk/Madlife-Garage-Centrifugal-Clutch-Duty-black/dp/B086JJSXK8/ref=sr_1_3?dib=eyJ2IjoiMSJ9.GAOtFmI0liuvFCX9Ey7tJ5lCTYdwQpNlfmSlTIZMFB65FTH_C4zhIkIwWNt1e4yna610BTeNUtG30uEOMQDKQC1tBi9AubrHXbFCKCQPJfiSdq5utqA0u9scWm5L219mQs3Qu6Egh9uzY2eLjS1PLjWI7UwEIkBsdm4W0UP4wfE.wcfnaZxE8dfjoOQnR-ZPv0Mqj6kMCdO7VkfjDCZhpjw&amp;dib_tag=se&amp;keywords=1%22+centrifugal+clutch&amp;qid=1746198952&amp;sr=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workbookViewId="0">
      <selection activeCell="H29" sqref="H29"/>
    </sheetView>
  </sheetViews>
  <sheetFormatPr defaultColWidth="15.7109375" defaultRowHeight="15" x14ac:dyDescent="0.25"/>
  <cols>
    <col min="1" max="1" width="18.7109375" style="5" bestFit="1" customWidth="1"/>
    <col min="2" max="2" width="21.7109375" style="5" customWidth="1"/>
    <col min="3" max="16384" width="15.7109375" style="5"/>
  </cols>
  <sheetData>
    <row r="1" spans="1:5" x14ac:dyDescent="0.25">
      <c r="A1" s="9" t="s">
        <v>0</v>
      </c>
      <c r="B1" s="10" t="s">
        <v>1</v>
      </c>
      <c r="C1" s="10" t="s">
        <v>2</v>
      </c>
      <c r="D1" s="11" t="s">
        <v>3</v>
      </c>
      <c r="E1" s="12" t="s">
        <v>4</v>
      </c>
    </row>
    <row r="2" spans="1:5" x14ac:dyDescent="0.25">
      <c r="A2" s="13" t="s">
        <v>5</v>
      </c>
      <c r="B2" s="1" t="s">
        <v>6</v>
      </c>
      <c r="C2" s="1">
        <v>72.69</v>
      </c>
      <c r="D2" s="3" t="s">
        <v>7</v>
      </c>
      <c r="E2" s="14" t="s">
        <v>4</v>
      </c>
    </row>
    <row r="3" spans="1:5" ht="30" x14ac:dyDescent="0.25">
      <c r="A3" s="13" t="s">
        <v>8</v>
      </c>
      <c r="B3" s="1" t="s">
        <v>9</v>
      </c>
      <c r="C3" s="1">
        <v>23.95</v>
      </c>
      <c r="D3" s="2" t="s">
        <v>10</v>
      </c>
      <c r="E3" s="14" t="s">
        <v>11</v>
      </c>
    </row>
    <row r="4" spans="1:5" x14ac:dyDescent="0.25">
      <c r="A4" s="13" t="s">
        <v>12</v>
      </c>
      <c r="B4" s="1"/>
      <c r="C4" s="1">
        <v>37.42</v>
      </c>
      <c r="D4" s="3" t="s">
        <v>13</v>
      </c>
      <c r="E4" s="14" t="s">
        <v>4</v>
      </c>
    </row>
    <row r="5" spans="1:5" x14ac:dyDescent="0.25">
      <c r="A5" s="15" t="s">
        <v>14</v>
      </c>
      <c r="B5" s="6" t="s">
        <v>15</v>
      </c>
      <c r="C5" s="6">
        <v>105.2</v>
      </c>
      <c r="D5" s="3" t="s">
        <v>16</v>
      </c>
      <c r="E5" s="14" t="s">
        <v>4</v>
      </c>
    </row>
    <row r="6" spans="1:5" ht="45" x14ac:dyDescent="0.25">
      <c r="A6" s="22" t="s">
        <v>17</v>
      </c>
      <c r="B6" s="23" t="s">
        <v>18</v>
      </c>
      <c r="C6" s="5" t="s">
        <v>19</v>
      </c>
      <c r="D6" s="5">
        <v>105</v>
      </c>
      <c r="E6" s="6">
        <v>115.36</v>
      </c>
    </row>
    <row r="7" spans="1:5" ht="31.5" x14ac:dyDescent="0.3">
      <c r="A7" s="25" t="s">
        <v>20</v>
      </c>
      <c r="B7" s="24" t="s">
        <v>21</v>
      </c>
      <c r="C7" s="21">
        <v>39.380000000000003</v>
      </c>
      <c r="D7" s="3" t="s">
        <v>22</v>
      </c>
      <c r="E7" s="14"/>
    </row>
    <row r="8" spans="1:5" ht="15.75" x14ac:dyDescent="0.3">
      <c r="A8" s="25" t="s">
        <v>23</v>
      </c>
      <c r="B8" s="24" t="s">
        <v>24</v>
      </c>
      <c r="C8" s="21">
        <v>13.39</v>
      </c>
      <c r="D8" s="3" t="s">
        <v>25</v>
      </c>
      <c r="E8" s="14" t="s">
        <v>26</v>
      </c>
    </row>
    <row r="9" spans="1:5" ht="30.75" x14ac:dyDescent="0.3">
      <c r="A9" s="26" t="s">
        <v>27</v>
      </c>
      <c r="B9" s="24" t="s">
        <v>28</v>
      </c>
      <c r="C9" s="21">
        <v>6.99</v>
      </c>
      <c r="D9" s="3"/>
      <c r="E9" s="14"/>
    </row>
    <row r="10" spans="1:5" ht="15.75" x14ac:dyDescent="0.3">
      <c r="A10" s="26" t="s">
        <v>29</v>
      </c>
      <c r="B10" s="24"/>
      <c r="C10" s="21">
        <v>12.99</v>
      </c>
      <c r="D10" s="3" t="s">
        <v>30</v>
      </c>
      <c r="E10" s="14"/>
    </row>
    <row r="11" spans="1:5" ht="15.75" x14ac:dyDescent="0.3">
      <c r="A11" s="25" t="s">
        <v>31</v>
      </c>
      <c r="B11" s="24"/>
      <c r="C11" s="21"/>
      <c r="D11" s="3"/>
      <c r="E11" s="14"/>
    </row>
    <row r="12" spans="1:5" ht="15.75" x14ac:dyDescent="0.3">
      <c r="A12" s="25" t="s">
        <v>32</v>
      </c>
      <c r="B12" s="24" t="s">
        <v>33</v>
      </c>
      <c r="C12" s="21">
        <v>26.7</v>
      </c>
      <c r="D12" s="3" t="s">
        <v>34</v>
      </c>
      <c r="E12" s="14"/>
    </row>
    <row r="13" spans="1:5" ht="15.75" x14ac:dyDescent="0.25">
      <c r="A13" s="5" t="s">
        <v>35</v>
      </c>
      <c r="B13" s="24" t="s">
        <v>36</v>
      </c>
      <c r="C13" s="27">
        <v>9.89</v>
      </c>
      <c r="D13" s="3" t="s">
        <v>37</v>
      </c>
      <c r="E13" s="14"/>
    </row>
    <row r="14" spans="1:5" ht="15.75" x14ac:dyDescent="0.3">
      <c r="A14" s="26" t="s">
        <v>38</v>
      </c>
      <c r="B14" s="24" t="s">
        <v>39</v>
      </c>
      <c r="C14" s="21">
        <v>5.99</v>
      </c>
      <c r="D14" s="3"/>
      <c r="E14" s="14"/>
    </row>
    <row r="15" spans="1:5" x14ac:dyDescent="0.25">
      <c r="A15" s="16" t="s">
        <v>40</v>
      </c>
      <c r="B15" s="5" t="s">
        <v>41</v>
      </c>
      <c r="E15" s="14"/>
    </row>
    <row r="16" spans="1:5" x14ac:dyDescent="0.25">
      <c r="A16" s="16" t="s">
        <v>42</v>
      </c>
      <c r="B16" s="5" t="s">
        <v>43</v>
      </c>
      <c r="C16" s="5">
        <v>6.7</v>
      </c>
    </row>
    <row r="19" spans="1:5" x14ac:dyDescent="0.25">
      <c r="A19" s="15" t="s">
        <v>44</v>
      </c>
      <c r="B19" s="6"/>
      <c r="C19" s="6">
        <f>SUM(C2:C18)</f>
        <v>361.28999999999996</v>
      </c>
    </row>
    <row r="20" spans="1:5" ht="45" x14ac:dyDescent="0.25">
      <c r="A20" s="15" t="s">
        <v>45</v>
      </c>
      <c r="B20" s="6" t="s">
        <v>46</v>
      </c>
      <c r="C20" s="6">
        <f>SUM(500-C19)</f>
        <v>138.71000000000004</v>
      </c>
      <c r="D20" s="2"/>
    </row>
    <row r="21" spans="1:5" x14ac:dyDescent="0.25">
      <c r="A21" s="18" t="s">
        <v>47</v>
      </c>
      <c r="B21" s="7" t="s">
        <v>48</v>
      </c>
      <c r="C21" s="7" t="s">
        <v>49</v>
      </c>
      <c r="D21" s="2"/>
      <c r="E21" s="17"/>
    </row>
    <row r="22" spans="1:5" x14ac:dyDescent="0.25">
      <c r="A22" s="16"/>
      <c r="D22" s="4"/>
      <c r="E22" s="17"/>
    </row>
    <row r="23" spans="1:5" x14ac:dyDescent="0.25">
      <c r="A23" s="16"/>
      <c r="E23" s="17"/>
    </row>
    <row r="24" spans="1:5" x14ac:dyDescent="0.25">
      <c r="A24" s="16"/>
      <c r="E24" s="17"/>
    </row>
    <row r="25" spans="1:5" x14ac:dyDescent="0.25">
      <c r="A25" s="19" t="s">
        <v>50</v>
      </c>
      <c r="B25" s="8" t="s">
        <v>24</v>
      </c>
      <c r="C25" s="8">
        <v>25</v>
      </c>
      <c r="E25" s="17"/>
    </row>
    <row r="26" spans="1:5" x14ac:dyDescent="0.25">
      <c r="A26" s="5" t="s">
        <v>51</v>
      </c>
      <c r="B26" s="5" t="s">
        <v>52</v>
      </c>
      <c r="C26" s="5">
        <v>25</v>
      </c>
      <c r="D26" s="8"/>
      <c r="E26" s="20"/>
    </row>
    <row r="27" spans="1:5" x14ac:dyDescent="0.25">
      <c r="A27" s="5" t="s">
        <v>53</v>
      </c>
      <c r="B27" s="5" t="s">
        <v>54</v>
      </c>
      <c r="C27" s="5">
        <v>75</v>
      </c>
    </row>
    <row r="28" spans="1:5" x14ac:dyDescent="0.25">
      <c r="A28" s="5" t="s">
        <v>55</v>
      </c>
      <c r="B28" s="5">
        <v>20</v>
      </c>
    </row>
    <row r="29" spans="1:5" ht="135" x14ac:dyDescent="0.25">
      <c r="E29" s="53" t="s">
        <v>56</v>
      </c>
    </row>
    <row r="36" spans="9:9" x14ac:dyDescent="0.25">
      <c r="I36" t="s">
        <v>57</v>
      </c>
    </row>
    <row r="37" spans="9:9" ht="45" x14ac:dyDescent="0.25">
      <c r="I37" s="5" t="s">
        <v>58</v>
      </c>
    </row>
    <row r="38" spans="9:9" ht="45" x14ac:dyDescent="0.25">
      <c r="I38" s="5" t="s">
        <v>59</v>
      </c>
    </row>
  </sheetData>
  <hyperlinks>
    <hyperlink ref="D5" r:id="rId1" display="https://www.amazon.co.uk/GXYWADY-Master-Cylinder-Replacement-Rebuild/dp/B0CH3CTZ4F/ref=sr_1_1?dib=eyJ2IjoiMSJ9.6JNiA91wPg11dpNu-uDXeXTu5H9Q8Hbqk42hSsmj9G-tYq6BM_3skaf8Lt_zgGMKdZXPtL4TGCHMoTdxgOIijnNkS7Cl-r2DJl3VTFXK1xnYyU46EPFHwUoy63yPavYxkUJ1RM-VZP5e962j0HD3hoTvnPA7-oDg4cDwrZlNdhoDuYG4xZkSiWbor8J2gHnxpo8yvKyShjiKFEhhf3vw2d8XgrpjgAM1iB6efQuMq5UPtbiyTAQRcoqOOE5gwW-x6aYJiiPxJDVuTSPv7jzm7d3Ds7wV6pXWyEEtFu0_V_Q.vtshT8tpL4gkxtCHxqzZoJas7rCR-7B0d4FqXRDAdtY&amp;dib_tag=se&amp;keywords=36+inch+rear+axle+kit&amp;nsdOptOutParam=true&amp;qid=1728219795&amp;sr=8-1" xr:uid="{8468E750-037B-45CE-8A50-AC76AE3BD8A9}"/>
    <hyperlink ref="D7" r:id="rId2" xr:uid="{7A6627C7-AAD4-4F46-B755-4E2884692D05}"/>
    <hyperlink ref="D4" r:id="rId3" xr:uid="{96A2D26F-0469-4E15-9C26-6E151AAC1823}"/>
    <hyperlink ref="E29" r:id="rId4" xr:uid="{C9B976E0-0133-4CC9-B680-E718477F58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6E834-CFE8-499B-8A7F-95251FCC048C}">
  <dimension ref="A1:J27"/>
  <sheetViews>
    <sheetView zoomScale="150" workbookViewId="0">
      <selection activeCell="A17" sqref="A17"/>
    </sheetView>
  </sheetViews>
  <sheetFormatPr defaultRowHeight="15" x14ac:dyDescent="0.25"/>
  <cols>
    <col min="1" max="1" width="32" bestFit="1" customWidth="1"/>
    <col min="2" max="2" width="21" style="5" customWidth="1"/>
    <col min="3" max="3" width="13.7109375" customWidth="1"/>
    <col min="4" max="4" width="26" customWidth="1"/>
    <col min="5" max="5" width="36.5703125" bestFit="1" customWidth="1"/>
    <col min="6" max="6" width="25.85546875" customWidth="1"/>
  </cols>
  <sheetData>
    <row r="1" spans="1:10" ht="30" x14ac:dyDescent="0.25">
      <c r="A1" s="28" t="s">
        <v>0</v>
      </c>
      <c r="B1" s="59" t="s">
        <v>1</v>
      </c>
      <c r="C1" s="10" t="s">
        <v>60</v>
      </c>
      <c r="D1" s="11" t="s">
        <v>3</v>
      </c>
      <c r="E1" s="12" t="s">
        <v>4</v>
      </c>
    </row>
    <row r="2" spans="1:10" x14ac:dyDescent="0.25">
      <c r="A2" s="42" t="s">
        <v>5</v>
      </c>
      <c r="B2" s="64" t="s">
        <v>6</v>
      </c>
      <c r="C2" s="29">
        <v>71.989999999999995</v>
      </c>
      <c r="D2" s="29" t="s">
        <v>61</v>
      </c>
      <c r="E2" s="30" t="s">
        <v>7</v>
      </c>
      <c r="F2" s="14" t="s">
        <v>4</v>
      </c>
    </row>
    <row r="3" spans="1:10" ht="17.25" customHeight="1" x14ac:dyDescent="0.25">
      <c r="A3" s="42" t="s">
        <v>62</v>
      </c>
      <c r="B3" s="63" t="s">
        <v>9</v>
      </c>
      <c r="C3" s="1">
        <v>10.95</v>
      </c>
      <c r="D3" s="62" t="s">
        <v>63</v>
      </c>
      <c r="E3" s="29">
        <v>20.95</v>
      </c>
      <c r="F3" s="3" t="s">
        <v>10</v>
      </c>
      <c r="G3" s="14" t="s">
        <v>11</v>
      </c>
    </row>
    <row r="4" spans="1:10" x14ac:dyDescent="0.25">
      <c r="A4" s="42" t="s">
        <v>64</v>
      </c>
      <c r="B4" s="63" t="s">
        <v>65</v>
      </c>
      <c r="C4" s="1">
        <v>33.979999999999997</v>
      </c>
      <c r="D4" s="61"/>
      <c r="E4" s="3"/>
      <c r="F4" s="36"/>
    </row>
    <row r="5" spans="1:10" x14ac:dyDescent="0.25">
      <c r="A5" t="s">
        <v>66</v>
      </c>
      <c r="B5" s="5" t="s">
        <v>67</v>
      </c>
      <c r="C5">
        <v>21.29</v>
      </c>
      <c r="D5" s="41" t="s">
        <v>68</v>
      </c>
      <c r="E5" s="42" t="s">
        <v>12</v>
      </c>
      <c r="F5" s="64"/>
      <c r="G5" s="1">
        <v>36.590000000000003</v>
      </c>
      <c r="H5" s="29">
        <v>33.229999999999997</v>
      </c>
      <c r="I5" s="41" t="s">
        <v>69</v>
      </c>
      <c r="J5" s="30" t="s">
        <v>13</v>
      </c>
    </row>
    <row r="6" spans="1:10" ht="30" x14ac:dyDescent="0.25">
      <c r="A6" t="s">
        <v>70</v>
      </c>
      <c r="B6" s="5" t="s">
        <v>71</v>
      </c>
      <c r="C6">
        <v>17.39</v>
      </c>
      <c r="D6" s="41" t="s">
        <v>72</v>
      </c>
      <c r="E6" s="65"/>
      <c r="F6" s="66"/>
      <c r="G6" s="67"/>
      <c r="H6" s="61"/>
      <c r="I6" s="41"/>
      <c r="J6" s="68"/>
    </row>
    <row r="7" spans="1:10" x14ac:dyDescent="0.25">
      <c r="A7" s="43" t="s">
        <v>14</v>
      </c>
      <c r="B7" s="60" t="s">
        <v>73</v>
      </c>
      <c r="C7" s="31">
        <v>93.5</v>
      </c>
      <c r="D7" s="41" t="s">
        <v>74</v>
      </c>
      <c r="E7" s="30" t="s">
        <v>16</v>
      </c>
    </row>
    <row r="8" spans="1:10" hidden="1" x14ac:dyDescent="0.25">
      <c r="A8" s="32" t="s">
        <v>17</v>
      </c>
      <c r="B8" s="23" t="s">
        <v>18</v>
      </c>
      <c r="C8">
        <v>0</v>
      </c>
      <c r="D8">
        <v>105</v>
      </c>
      <c r="E8" s="31">
        <v>115.36</v>
      </c>
    </row>
    <row r="9" spans="1:10" ht="15.75" x14ac:dyDescent="0.3">
      <c r="A9" s="44" t="s">
        <v>20</v>
      </c>
      <c r="B9" s="51" t="s">
        <v>21</v>
      </c>
      <c r="C9" s="34">
        <v>40.03</v>
      </c>
      <c r="D9" s="30" t="s">
        <v>22</v>
      </c>
      <c r="E9" s="14"/>
    </row>
    <row r="10" spans="1:10" ht="30" x14ac:dyDescent="0.25">
      <c r="A10" s="50" t="s">
        <v>75</v>
      </c>
      <c r="B10" s="51" t="s">
        <v>76</v>
      </c>
      <c r="C10" s="34">
        <v>27.49</v>
      </c>
      <c r="D10" s="49" t="s">
        <v>77</v>
      </c>
      <c r="E10" s="30" t="s">
        <v>78</v>
      </c>
      <c r="F10" s="30" t="s">
        <v>25</v>
      </c>
      <c r="G10" s="14"/>
      <c r="H10" s="41"/>
    </row>
    <row r="11" spans="1:10" ht="15.75" x14ac:dyDescent="0.3">
      <c r="A11" s="44" t="s">
        <v>79</v>
      </c>
      <c r="B11" s="51" t="s">
        <v>80</v>
      </c>
      <c r="C11" s="58"/>
      <c r="D11" s="34">
        <v>11.99</v>
      </c>
      <c r="E11" s="30" t="s">
        <v>81</v>
      </c>
      <c r="F11" s="14"/>
    </row>
    <row r="12" spans="1:10" ht="30.75" x14ac:dyDescent="0.3">
      <c r="A12" s="45" t="s">
        <v>82</v>
      </c>
      <c r="B12" s="51" t="s">
        <v>28</v>
      </c>
      <c r="C12" s="34">
        <v>6.99</v>
      </c>
      <c r="D12" s="30" t="s">
        <v>83</v>
      </c>
      <c r="E12" s="14"/>
    </row>
    <row r="13" spans="1:10" ht="15.75" x14ac:dyDescent="0.3">
      <c r="A13" s="46" t="s">
        <v>29</v>
      </c>
      <c r="B13" s="24"/>
      <c r="C13" s="34">
        <v>0</v>
      </c>
      <c r="D13" s="34">
        <v>12.99</v>
      </c>
      <c r="E13" s="30" t="s">
        <v>30</v>
      </c>
    </row>
    <row r="14" spans="1:10" ht="15.75" x14ac:dyDescent="0.3">
      <c r="A14" s="47" t="s">
        <v>31</v>
      </c>
      <c r="B14" s="24"/>
      <c r="C14" s="34">
        <v>0</v>
      </c>
      <c r="D14" s="30"/>
      <c r="E14" s="14"/>
    </row>
    <row r="15" spans="1:10" ht="30.75" x14ac:dyDescent="0.3">
      <c r="A15" s="44" t="s">
        <v>32</v>
      </c>
      <c r="B15" s="51" t="s">
        <v>84</v>
      </c>
      <c r="C15" s="34">
        <v>12.99</v>
      </c>
      <c r="D15" s="30" t="s">
        <v>85</v>
      </c>
      <c r="E15" s="14"/>
    </row>
    <row r="16" spans="1:10" ht="21" customHeight="1" x14ac:dyDescent="0.25">
      <c r="A16" s="57" t="s">
        <v>86</v>
      </c>
      <c r="B16" s="24" t="s">
        <v>87</v>
      </c>
      <c r="C16" s="39">
        <v>0</v>
      </c>
      <c r="D16" s="39">
        <v>13.99</v>
      </c>
      <c r="E16" s="30" t="s">
        <v>88</v>
      </c>
      <c r="F16" s="40" t="s">
        <v>89</v>
      </c>
    </row>
    <row r="17" spans="1:7" x14ac:dyDescent="0.25">
      <c r="A17" s="57" t="s">
        <v>90</v>
      </c>
      <c r="B17" s="24" t="s">
        <v>87</v>
      </c>
      <c r="C17" s="39">
        <v>6.71</v>
      </c>
      <c r="D17" s="55"/>
      <c r="E17" s="56"/>
    </row>
    <row r="18" spans="1:7" ht="15.75" x14ac:dyDescent="0.3">
      <c r="A18" s="45" t="s">
        <v>91</v>
      </c>
      <c r="B18" s="51" t="s">
        <v>92</v>
      </c>
      <c r="C18" s="5">
        <v>9.39</v>
      </c>
      <c r="D18" s="49" t="s">
        <v>93</v>
      </c>
      <c r="E18" s="49" t="s">
        <v>94</v>
      </c>
      <c r="F18" s="30" t="s">
        <v>95</v>
      </c>
      <c r="G18" s="14"/>
    </row>
    <row r="19" spans="1:7" x14ac:dyDescent="0.25">
      <c r="A19" s="35" t="s">
        <v>40</v>
      </c>
      <c r="B19" s="5" t="s">
        <v>41</v>
      </c>
      <c r="C19" s="36">
        <v>0</v>
      </c>
      <c r="E19" s="14"/>
    </row>
    <row r="20" spans="1:7" x14ac:dyDescent="0.25">
      <c r="A20" s="48" t="s">
        <v>42</v>
      </c>
      <c r="B20" s="5" t="s">
        <v>43</v>
      </c>
      <c r="C20">
        <v>6.99</v>
      </c>
      <c r="D20" s="41" t="s">
        <v>96</v>
      </c>
    </row>
    <row r="21" spans="1:7" x14ac:dyDescent="0.25">
      <c r="A21" s="54" t="s">
        <v>97</v>
      </c>
      <c r="B21" s="5" t="s">
        <v>98</v>
      </c>
      <c r="C21" s="5"/>
      <c r="D21">
        <v>2.4900000000000002</v>
      </c>
      <c r="E21" s="41" t="s">
        <v>99</v>
      </c>
    </row>
    <row r="22" spans="1:7" x14ac:dyDescent="0.25">
      <c r="A22" s="48" t="s">
        <v>100</v>
      </c>
      <c r="B22" s="58" t="s">
        <v>101</v>
      </c>
      <c r="C22">
        <v>4.99</v>
      </c>
      <c r="D22" s="41" t="s">
        <v>102</v>
      </c>
      <c r="E22" s="41" t="s">
        <v>103</v>
      </c>
    </row>
    <row r="23" spans="1:7" x14ac:dyDescent="0.25">
      <c r="A23" s="35"/>
    </row>
    <row r="24" spans="1:7" x14ac:dyDescent="0.25">
      <c r="A24" s="32" t="s">
        <v>44</v>
      </c>
      <c r="B24" s="23"/>
      <c r="C24" s="33">
        <f>SUM(C2:C23)</f>
        <v>364.68</v>
      </c>
    </row>
    <row r="25" spans="1:7" x14ac:dyDescent="0.25">
      <c r="A25" t="s">
        <v>104</v>
      </c>
      <c r="C25">
        <f>360-C24</f>
        <v>-4.6800000000000068</v>
      </c>
    </row>
    <row r="27" spans="1:7" x14ac:dyDescent="0.25">
      <c r="A27" s="37" t="s">
        <v>47</v>
      </c>
      <c r="B27" s="38" t="s">
        <v>48</v>
      </c>
      <c r="C27" s="37" t="s">
        <v>49</v>
      </c>
      <c r="D27" s="36"/>
    </row>
  </sheetData>
  <hyperlinks>
    <hyperlink ref="E7" r:id="rId1" display="https://www.amazon.co.uk/GXYWADY-Master-Cylinder-Replacement-Rebuild/dp/B0CH3CTZ4F/ref=sr_1_1?dib=eyJ2IjoiMSJ9.6JNiA91wPg11dpNu-uDXeXTu5H9Q8Hbqk42hSsmj9G-tYq6BM_3skaf8Lt_zgGMKdZXPtL4TGCHMoTdxgOIijnNkS7Cl-r2DJl3VTFXK1xnYyU46EPFHwUoy63yPavYxkUJ1RM-VZP5e962j0HD3hoTvnPA7-oDg4cDwrZlNdhoDuYG4xZkSiWbor8J2gHnxpo8yvKyShjiKFEhhf3vw2d8XgrpjgAM1iB6efQuMq5UPtbiyTAQRcoqOOE5gwW-x6aYJiiPxJDVuTSPv7jzm7d3Ds7wV6pXWyEEtFu0_V_Q.vtshT8tpL4gkxtCHxqzZoJas7rCR-7B0d4FqXRDAdtY&amp;dib_tag=se&amp;keywords=36+inch+rear+axle+kit&amp;nsdOptOutParam=true&amp;qid=1728219795&amp;sr=8-1" xr:uid="{E2F4DD87-7476-4C83-B42F-8D75C9FBD162}"/>
    <hyperlink ref="D9" r:id="rId2" xr:uid="{6583216D-45A3-4C48-B6D9-76B73661EA19}"/>
    <hyperlink ref="J5" r:id="rId3" xr:uid="{7FF6C7B9-30D9-4F8D-9CFF-8DF91DC80E4C}"/>
    <hyperlink ref="D15" r:id="rId4" xr:uid="{4255703B-9FF2-4DFE-B394-C227F780533E}"/>
    <hyperlink ref="E2" r:id="rId5" display="https://www.amazon.co.uk/Ejoyous-Replacement-Industrial-Agricultural-Air-Cooled/dp/B08VDQGQ27/ref=sr_1_5?dib=eyJ2IjoiMSJ9.fcwco9gx_NJeJrqLN_ejJzktR_G-f0qoU3bGH5i9seVFZ2ste6iZGOQTx0Kjy0fnp64jkD8NZ9BZYrDXaNFVswHK_SJmlRScM4KSGqjKaDH-RXHidWqfCMvH9spU7W1Wa82TKVmsNO3S7-BuGQSQTiz1z5uF4DjBWriEAHqPft_PSOCFWipIKsYUSNImD_-fxaG1iT9_Jrm3ZeMu9bc9Gp-bEIwLMKm4hAL-jIzWClI.QcyiH1B1XjjBzNuCx__dSvYZZBt-Ws969OAY2AzWnCg&amp;dib_tag=se&amp;keywords=6.5hp+engine&amp;qid=1738700015&amp;sr=8-5" xr:uid="{8143E4B4-72D7-49F5-8B9F-E0870C203262}"/>
    <hyperlink ref="F3" r:id="rId6" display="https://www.amazon.co.uk/ZENO-Pneumatic-Wheelbarrow-Puncture-Replacement/dp/B0BBKXVZ4G/ref=sr_1_13_sspa?dib=eyJ2IjoiMSJ9.A3OOQI0_Zv-fo18qNzdqTmxP0r7wTFkRvhcTcSbwpBPvszur4SN1Q1apeLngrmvNcu7vUdwZsfugdFv7DMdo0gQuJxI1moLNRtHKMiri1hJS8MKFt2gp3L2R-5zekSb64ot14EGvSoIcmMjte0-bVNUt3yluLnT4ugRRzaeIkIhBUhFCJxYDYiLwd4JzYhxImPQ62vt91eZbMvs-I_U_wkl9rSDSAmiqyqgltgCXHRCB4m1mOrIih7_bnp8GJE8pVP_V2P79LMwAditg-lQFbkpDm9P-PYybokWQ2w34w_U.NpfzG7XFxJUR7-twmqepLcpjDf4bwQytvQa2rpCzBUE&amp;dib_tag=se&amp;keywords=go+kart+wheels&amp;qid=1728220361&amp;s=automotive&amp;sr=1-13-spons&amp;sp_csd=d2lkZ2V0TmFtZT1zcF9tdGY&amp;psc=1" xr:uid="{45650C00-85E9-4F0F-AF51-78A4DF57B3FC}"/>
    <hyperlink ref="D20" r:id="rId7" display="https://www.ebay.co.uk/itm/166542584938?chn=ps&amp;_ul=GB&amp;_trkparms=ispr%3D1&amp;amdata=enc%3A1l7DuBbc9SmK8IHs61hV0pQ47&amp;norover=1&amp;mkevt=1&amp;mkrid=710-134428-41853-0&amp;mkcid=2&amp;mkscid=101&amp;itemid=166542584938&amp;targetid=2360873003490&amp;device=c&amp;mktype=pla&amp;googleloc=9044906&amp;poi=&amp;campaignid=21690875706&amp;mkgroupid=169793746720&amp;rlsatarget=pla-2360873003490&amp;abcId=10027099&amp;merchantid=115236306&amp;gad_source=1&amp;gclid=CjwKCAiA8Lu9BhA8EiwAag16b8FUNG5_zo0M1CzuSnZsN3YyqKe9evkqRqb0ZTJO5kC12IvQw7Kl5RoCeugQAvD_BwE" xr:uid="{54FC0F4D-8159-44D0-8324-55087B29550F}"/>
    <hyperlink ref="F18" r:id="rId8" xr:uid="{0A82E455-DF09-4F34-96AB-3F187F45EF95}"/>
    <hyperlink ref="I5" r:id="rId9" display="https://www.ebay.co.uk/itm/205128657932?_trkparms=amclksrc%3DITM%26aid%3D1110006%26algo%3DHOMESPLICE.SIM%26ao%3D1%26asc%3D280672%2C281315%2C281326%2C280571%26meid%3D186a944cd9784cf1a6b137a5c75fcfd1%26pid%3D101875%26rk%3D2%26rkt%3D4%26sd%3D204669662830%26itm%3D205128657932%26pmt%3D1%26noa%3D0%26pg%3D2332490%26algv%3DSimVIDwebV3WithCPCExpansionEmbeddingSearchQuerySemanticBroadMatchSingularityRecallReplaceKnnV4WithVectorDbNsOptHotPlRecall%26brand%3DVEVOR&amp;_trksid=p2332490.c101875.m1851&amp;itmprp=cksum%3A205128657932186a944cd9784cf1a6b137a5c75fcfd1%7Cenc%3AAQAKAAABYHKEKKNMUePryBh1zZl0qrjonWK6%252Bbjh8v6%252FxTRbw1Loxqx736BoO2V7ozv6W4xuOBJjwGhPLWk9lnRB2teM6PFgOrZGVcTwpTth7MW79p066SWQrB1VasW1Di58xl1RMBXsH%252BaNxpzil0t8bdqbPkgJlZgvtHVYNSkxo5xG%252Bq21uJ4ns5oIp0ta3NI6ZOVv22RmL5ZD86%252Fs3DP06JHUohRrLvoTlSPvpz0IFHkhiQAz4o%252FeuAjUk73y3tqLCMOhz7cM5h7re4x3yp8Xk2w2VjMSH5FoJe8NyU00QOcSiB56p9dnvhRmEd7W3HS3lZUHCzK%252FjP9tiLySBCuOh7xHb7HQnaLehOXntAZHAwbjDaSFb0AeUTskrRRhhiEMY5MWOvPc1IMf2zOoZL7CMYbX9k3as7Gk5hedGOPp4tyylPApZ%252Fkx1hUWZK2XGvM6XB9F7v4HuDpRM0MUGiM%252F9rwRvBM%253D%7Campid%3APL_CLK%7Cclp%3A2332490&amp;itmmeta=01JN48DZH8QG5DKRW28M5HQEG8" xr:uid="{08D48A45-D850-43C6-9EA2-9B2D16277EE0}"/>
    <hyperlink ref="E11" r:id="rId10" display="https://www.amazon.co.uk/Aobbmok-Roller-Chain-Connecting-Replacements/dp/B079L6DQFF/ref=pd_day0fbt_thbs_d_sccl_1/259-3488854-4744615?pd_rd_w=jKCaj&amp;content-id=amzn1.sym.aa5f0976-1480-46a8-ac3e-86a6a439835e&amp;pf_rd_p=aa5f0976-1480-46a8-ac3e-86a6a439835e&amp;pf_rd_r=HX0836965GSJCRFJ6KS3&amp;pd_rd_wg=NJ9Jm&amp;pd_rd_r=83db4dfe-48cc-42f2-b1ae-9c0e992baff9&amp;pd_rd_i=B079L6DQFF&amp;th=1" xr:uid="{42CB3ACF-D726-49DC-B1AC-7B38DFE1724C}"/>
    <hyperlink ref="D12" r:id="rId11" display="https://www.amazon.co.uk/Waterproof-waterproof-tarpaulin-camping-painting/dp/B084G9DX33/ref=sr_1_15?crid=1T2Y1D7K1ZA31&amp;dib=eyJ2IjoiMSJ9.RRehQBCu4zwShToIZrZHrxkzTH9fG6n3h28scCe_M5SPd2nRaAg3eAirXUxaz0KA8S_X4dKpzm7tVnKWKS1IV7UHv2w0_uy85s0BVqkeuavJw3St0HzsyM-HxAvcODlqJ62CPZTHEfs3jL0CSDm1H-YN2KDp_SE295tssA2CTGWKFfSaunchbb4W9j_gzPN2pUVCWFGCXUiWha-vkHCVbUWKmy_-0bmhYsFNL4ypGqAKBDxXN0cm9vusWPHVEFvS_qJPW5CY619ic5m_bC3a6HpGpGnaIstbyoYizGjEY-VSGzojlizQ5TiT4e-8xiSDS2OlNE17UxMYl5BAW6LpBEZ1oVXGh07iJPOQ74qkaeBEB7N31OOtJpaKh4nBRRWXF2eHJbVQYhPeuVdCTpacqPj1MznL94GBrfKCptDrlOcNn7MJo7lnGLk_09UAv2XX.x8qMRw7VhD9inegOy9eyD6E_newGbdoRWsglkElJtOg&amp;dib_tag=se&amp;keywords=tarpaulin+3m+x+3m&amp;qid=1740679059&amp;sprefix=tarpaulin+3m+x+3m%2Caps%2C92&amp;sr=8-15" xr:uid="{FBFB5561-7675-49A7-B5BE-42923CAB7A62}"/>
    <hyperlink ref="D7" r:id="rId12" display="https://www.amazon.co.uk/SEBLAFF-Assembly-Shaft-Chain-Brake/dp/B0BP1V2691/ref=sr_1_2?crid=1X8SBGDQF1Y1T&amp;dib=eyJ2IjoiMSJ9.wj6UGutKkZ0k5IEJRLekCff9LKgIihUaYjIiZ-Q6CESGgNG7i7H2VVMSHTndKo1-Jf5aVyxpx8Tw1IxHm_pXmNCulgkU1N9Q4P9YD66WjV3Z9hIqRZRkEjbT_4k8UpjpqPUwaP9Q4NHRF1k8NIItPEUdxKztwnflzZlk8MGzfLXtnaJG7RUT-_0AOy76FmZ3zY-3nILe0ll5dXT15SMwWO3-QeEecRI1Zu-UpJnmpTE.VL3K3_PCf_GOucnUItHBTSgRQoffLRBriD8PtP-DPFE&amp;dib_tag=se&amp;keywords=go+kart+rear+axle+kit&amp;qid=1740679747&amp;sprefix=rear+axle+ki%2Caps%2C95&amp;sr=8-2" xr:uid="{EF24EA63-C315-41C9-A382-608A6BBFE84F}"/>
    <hyperlink ref="F10" r:id="rId13" xr:uid="{5A35CB16-C472-4C36-BEC3-5B0C6B94DB59}"/>
    <hyperlink ref="E10" r:id="rId14" xr:uid="{DF49E089-EC3E-4FFF-9CF8-392349B271B1}"/>
    <hyperlink ref="A16" r:id="rId15" xr:uid="{D5FE6F15-6D14-4480-94B0-466097E07516}"/>
    <hyperlink ref="D10" r:id="rId16" xr:uid="{7F43426A-0C08-499F-85BF-8F50A16ED39B}"/>
    <hyperlink ref="E18" r:id="rId17" display="https://www.amazon.co.uk/M10-Washers-Stainless-Spacers-25-50PCS/dp/B0D8HWSD57/ref=sr_1_6?crid=1QJ4V9BDFV4B&amp;dib=eyJ2IjoiMSJ9.Wv92pTyCxQQt2tJzGlWFHy80CJS0cVWpQyf5fnZfvaY-zZIXeVLPFKJGYQ8pLkUDins3cAph6Gmejep9akNmPkS3tIkT_8wny3zU8riS3BCostGAOulv1T036w0xytifV5fYjjZmuGyRpWyqJDZcZ8qWZIYnjrDaGX9teXLIs0EFODNBeIWV465oNHEOkuqOhWTTa4YIBfLCQ5nbLGaEX8Z313ZGuzBetcapkkkd3MaaStP7uZri8qG_8td6KmwiBiGDuvsZJb1WhRYyBSzdSNrYvGE3PFWzGE5Uw2aYV69vgeG8dTdoJ4qGAMXwp1_LlbYCwWviIzRcLHNCe2KLc7pH0Uz5LRGK1HXByctGpz4.iEZyg5x33gZof9mQ1yKxr-xiZTuv03Ed9mHhZDyhM2s&amp;dib_tag=se&amp;keywords=m10%2Bbolt%2Bwashers&amp;qid=1740781872&amp;s=industrial&amp;sprefix=m10%2Bbolt%2Bwashers%2Cindustrial%2C65&amp;sr=1-6&amp;th=1" xr:uid="{321423C2-7E72-4F52-A425-84CD08ACC368}"/>
    <hyperlink ref="D18" r:id="rId18" display="https://www.amazon.co.uk/sourcing-map-Stainless-Factories-Construction/dp/B0DDX11MCF/ref=sr_1_4?crid=15F5UJ7U7GLS1&amp;dib=eyJ2IjoiMSJ9.Iv-xfT64IPqG1dGr2NITjytpGGaqlXPRTPIqcXGGWenDLc_exVfdvCzLX25CP-nGnf_2kxPwTIDDKg_LOdoaN0IkwnI03TlhsEnJQiffhjH3KGCgFyhPyKL8SCQyBb2kW-K6yGE-rAQFZDFttRcM5YVB9ev0XWkv4uVN9_PNGvy7zBe75e4P2eaTsvemxJCXNVhmiX5aKx83N7ax4b_pbIAOQIMPiCPeAdyFRx8g8bgz1F9vHnEv2lOyb5VuJJ_-5y9LCx5aS1vJ9HsnRzAUgnVVG3LmHnOdEz1HSXsuSpNoPEJEEtFWf6NTwVtSm_E3IVKGXvjdnLsTSCGDffYpIN0K0Dx8Qh_zYjkBW4HBrTY.D9nkZ7-75davPgEN5RZ7NYR3UML9il1EQpJbi155tzA&amp;dib_tag=se&amp;keywords=m10%2Bbolt%2Bwashers%2B100pcs&amp;qid=1740856305&amp;s=industrial&amp;sprefix=m10%2Bbolt%2Bwashers%2B100pcs%2Cindustrial%2C56&amp;sr=1-4&amp;th=1" xr:uid="{E450E246-FAE3-48D6-909A-38F85189C8AD}"/>
    <hyperlink ref="E21" r:id="rId19" display="https://www.amazon.co.uk/Abena-Type-Disposable-Face-Loops/dp/B08P35F6RH/ref=sr_1_8?dib=eyJ2IjoiMSJ9.L5xN-e2hGi8iM12q_pDz_-3_cmfrnhB9MxvOgO0VQXYpDXE3MDFveaYkQRMrfamtkPdQNoTUMFdPgAICbbmKCznuzlHLBXI0ji22oyBWCEKGW2R8tWZuE4zUeHcbuiSNw6zYdwDlX3hgUA9jLeoqvSKG8g_F-zeiD98tUmpl1EX3EEg2Li8K_ye1w6UbNHLu0t2cr5OZcBI3j_x4lbTy4SVzc5f_ecfgiwiJY8D6577qN9sGj9FdJ167zRGZCzc5usY_fG9UBP8G2iiSchBUpJ9CmDDZUJGcMJtuAqN53Oa7gv3VN6Cz4aq57bVb1GZTVnZ1YzNNtH_U5ahVXSKpg0L6ttEaRKfOSWXVPeCzJhbHHhiWqLYU2SKVtR5lZU-bygGve2UHRRaMypiyy4PNvOmLDuEupmuvBH_UYSX_pLOzoTZW8jc9J2qdXt1NieDH.KIz762eLoQpzNp26FM5sqyxq1VQs45O7T8eg9UUtXTA&amp;dib_tag=se&amp;keywords=surgical+mask&amp;qid=1740856762&amp;sr=8-8" xr:uid="{1B2068B5-260B-441C-A33E-87CEB8C38811}"/>
    <hyperlink ref="E22" r:id="rId20" display="https://www.amazon.co.uk/Disposable-Examination-Preparation-Cleaning-Multi-Purpose/dp/B0D4DZD4LM/ref=sr_1_4?crid=17FYM30G1826L&amp;dib=eyJ2IjoiMSJ9.vOEczs2J6sL28CdBf1O_CnouRQ1-WMOAmX9LQAlrvfJ6glpvqV9JfO8N50quq73aS0yB5v9-xcDwedx0TiGyFfMbBcq1dQbNm6iKdcsBHVUGsk31JCf-xUmsXnNV0XNgMHsr03EedW5iI5iFvIdqZkjpHXS9mEhneEPSc_BXoyPaovShl1Vzk-AGq_YAufYe43IsEFlBWw0mNpmIQkDsXsabL--L01fstyWzs1FKcFYz_icD01BmXCxQm0fMPLyD8ZTgNQPL6_tirDQt5X-5Eku2jD4vuWcuC18UZ_APC9RWs6AN4K4_W9MtUSajm33XMdtztweeFi7VL5kF2OcMrX7cUO6df_KOm_Eu77uOYnM.a0S5E5pbffUttzFyqu2X70hJfIes2i5Gqx7r9XowAhM&amp;dib_tag=se&amp;keywords=gloves%2Bdisposable%2Bmedium&amp;qid=1740856921&amp;refinements=p_n_feature_two_browse-bin%3A28138565031%2Cp_36%3A300-800&amp;rnid=118657031&amp;s=diy&amp;sprefix=gloves%2Caps%2C88&amp;sr=1-4&amp;th=1" xr:uid="{C37227A6-4FCC-434C-9061-C1CCEF96175E}"/>
    <hyperlink ref="E16" r:id="rId21" display="https://www.amazon.co.uk/Ejoyous-Replacement-Industrial-Agricultural-Air-Cooled/dp/B08VDQGQ27/ref=sr_1_5?dib=eyJ2IjoiMSJ9.fcwco9gx_NJeJrqLN_ejJzktR_G-f0qoU3bGH5i9seVFZ2ste6iZGOQTx0Kjy0fnp64jkD8NZ9BZYrDXaNFVswHK_SJmlRScM4KSGqjKaDH-RXHidWqfCMvH9spU7W1Wa82TKVmsNO3S7-BuGQSQTiz1z5uF4DjBWriEAHqPft_PSOCFWipIKsYUSNImD_-fxaG1iT9_Jrm3ZeMu9bc9Gp-bEIwLMKm4hAL-jIzWClI.QcyiH1B1XjjBzNuCx__dSvYZZBt-Ws969OAY2AzWnCg&amp;dib_tag=se&amp;keywords=6.5hp+engine&amp;qid=1738700015&amp;sr=8-5" xr:uid="{76CD018F-3C11-41AA-B844-FA411697720C}"/>
    <hyperlink ref="D22" r:id="rId22" display="https://www.amazon.co.uk/MediHands-Powder-Gloves-Disposable-Medium/dp/B07L5MYF5V/ref=sr_1_25_sspa?dib=eyJ2IjoiMSJ9.HBkem1QGlMoz6ZjJK2sr93dLGCjfdpb8WLYFzwRjGvvs7fhtxYJQk8ubcuNAEYWSt4uCgKLTakYRARSevDGzpoYaIc0aWIklTpgkj0RwARJnISdxTBrcfA79Tc_D7N5iTXtL9DbBd1BvbEAnutM89mYgMz1Rdb30M_rmM267__zjvSusZg2zBTknF8QQAbIIo4RfRyS1uOa1yOzVvR6oj1gZgH6FcNQHeTJbv9gWRnitMn5nQdZlRVAhYqGLcWxSCpMYr6G5UYbezode-uXMZg4kdHh2UKgpg6tQcA5yno4.2D2Gek5ZpYriwTerGB1HI4TySxmzowpiW3o6xTg0Sbk&amp;dib_tag=se&amp;keywords=disposable%2BGloves&amp;qid=1740858307&amp;refinements=p_36%3A300-1100&amp;rnid=118657031&amp;s=diy&amp;sr=1-25-spons&amp;sp_csd=d2lkZ2V0TmFtZT1zcF9idGY&amp;th=1" xr:uid="{E424B1E4-3E43-4875-B788-707BC74FD6CD}"/>
    <hyperlink ref="D3" r:id="rId23" display="https://www.amazon.co.uk/ZENO-Pneumatic-Wheelbarrow-Puncture-Replacement/dp/B0BBGB2XVX/ref=sxin_15_pa_sp_search_thematic_sspa?content-id=amzn1.sym.ef88c0ed-6e25-412d-9436-2578b3d9875e%3Aamzn1.sym.ef88c0ed-6e25-412d-9436-2578b3d9875e&amp;crid=15CI4FUJTMW0H&amp;cv_ct_cx=wheelbarrow+wheel&amp;keywords=wheelbarrow+wheel&amp;pd_rd_i=B0BBGB2XVX&amp;pd_rd_r=994d4314-c0a0-4258-a785-5f7697fa8c1d&amp;pd_rd_w=brVPp&amp;pd_rd_wg=27Gum&amp;pf_rd_p=ef88c0ed-6e25-412d-9436-2578b3d9875e&amp;pf_rd_r=KHZNCH65TJDRMHDB0VT4&amp;qid=1741809775&amp;sbo=RZvfv%2F%2FHxDF%2BO5021pAnSA%3D%3D&amp;sprefix=wheelb%2Caps%2C85&amp;sr=1-4-ad3222ed-9545-4dc8-8dd8-6b2cb5278509-spons&amp;sp_csd=d2lkZ2V0TmFtZT1zcF9zZWFyY2hfdGhlbWF0aWM&amp;psc=1" xr:uid="{BDF4D343-439D-48AB-AB4B-FC4A5D97435D}"/>
    <hyperlink ref="D6" r:id="rId24" display="https://www.amazon.co.uk/Sprocket-Stable-Saving-Mounting-Maintenance/dp/B09XVNZZNQ/ref=sr_1_10?crid=3EDC6GP6S1FDU&amp;dib=eyJ2IjoiMSJ9.nvlhycfck24I64AWkRJtosrKOBZOaIgll5HC3FRB9ks0cu0S1LwGQJLuq0Ldg3n8SiDHKJV6jjj3eDYvLBvxNBOYmWG55ZH_dQbPJV2EuodBvq3pYRHqM25Sj32kyjn2XUGGJFJD70kU3WiawPYMnQ4jaWrXUDf5RF9iM5IWbuhScFRr8nHKPNqqT9lfZANDan9Nu8sSO49rt5f5gPaIxrpHICIpj91BIgDuqZO-eGk83jOI3TH9zzwfXYlPOWIKF5P3e3Bn4WWC-LI7kpxNIHEhL0Jb3pXgN_VtmMHZ27ZTdn2JhI-A_swY8zCIuzb6iSz62iYK_k7OQY7Xtw6uIsCbGF8t1Y9oEpS2UIJ13R5oxwdDrGK2hxUG5Xh_JpQ60JloZ0zef_vAREGIVBijYb9saGnTWBhd5Z0EtiIjnV7sl88MGsqOG_Wn8SFMxhnU.Tm4RHnPb4bX9e2nwH-03_s7AhPSXIQIUVx948wFh-vI&amp;dib_tag=se&amp;keywords=%2335+rear+sprocket&amp;qid=1743109152&amp;sprefix=%2335+rear+sprocket%2Caps%2C54&amp;sr=8-10" xr:uid="{4B4A8474-DDAA-4A3A-A4A2-ACC8CC05B5A0}"/>
    <hyperlink ref="D5" r:id="rId25" display="https://www.amazon.co.uk/4inch-Centrifugal-Clutch-Tooth-Chain/dp/B07WGD2NXP/ref=sr_1_4?crid=3855PVNHCYGMP&amp;dib=eyJ2IjoiMSJ9.T6ZOODuvqSRxiJFAkxrxRmYnbIc4VdZVw2MsBRP6-kKgLzDPLVbuMQCIWkcQ3k5ULOloPayW-zqtAKE1KKxIlvp30YpP09nj-GBQw1UC6A1WTyPQLRRRkhizgExn1bAmvskWHB0q93_Jf56LxFX4U7WKDtLs0IP_oWTKTiDiiuoJPJ4xApoz0MZjWlcS1541sCXiyfDzXvrFhxFxT4SK658QdHUSgvmW2V6i49NU9JoETXKkM22_UFb_iYUPCmNAPJ-og6fuf2dZfp-i9o-U_-5GhtohJXEuNrZKWmQsr_XNv_gamI09jzd0iu2CBpzx0bQOd77eDWzd3ZqR5el3RibbbQzHAH_GutZvOJYW832vR4m2hTD-hhR0mSeEfBnRhlRZQymvdBEmpAMGJqgMD16gspJ-R0ErZ0z3UoTEwK6Sic-S9BZg4j3rtZjacCsK.fkLP0YTfqnh1Jn0CUzEbzwTFaZLaMOv71OHLhNOZnK8&amp;dib_tag=se&amp;keywords=3%2F4+sprocket+clutch&amp;qid=1743099436&amp;s=industrial&amp;sprefix=3%2F4+sprocket+clutch%2Cindustrial%2C72&amp;sr=1-4-catcorr" xr:uid="{00202FC9-4B10-4AB6-B318-9E505AB74D2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CCBC9-A00C-4B48-B5FF-36C9C5AECD27}">
  <dimension ref="A1:K116"/>
  <sheetViews>
    <sheetView topLeftCell="A10" zoomScale="129" zoomScaleNormal="110" workbookViewId="0">
      <selection activeCell="F23" sqref="F23"/>
    </sheetView>
  </sheetViews>
  <sheetFormatPr defaultRowHeight="15" x14ac:dyDescent="0.25"/>
  <cols>
    <col min="1" max="1" width="36.5703125" customWidth="1"/>
    <col min="2" max="2" width="14.42578125" bestFit="1" customWidth="1"/>
    <col min="3" max="3" width="36.5703125" bestFit="1" customWidth="1"/>
    <col min="4" max="4" width="13" customWidth="1"/>
    <col min="5" max="5" width="36.5703125" bestFit="1" customWidth="1"/>
    <col min="7" max="7" width="10.42578125" bestFit="1" customWidth="1"/>
    <col min="8" max="8" width="9.85546875" customWidth="1"/>
    <col min="10" max="10" width="15.85546875" bestFit="1" customWidth="1"/>
    <col min="11" max="12" width="36.5703125" bestFit="1" customWidth="1"/>
  </cols>
  <sheetData>
    <row r="1" spans="1:9" x14ac:dyDescent="0.25">
      <c r="A1" t="s">
        <v>105</v>
      </c>
      <c r="B1" t="s">
        <v>106</v>
      </c>
      <c r="E1" t="s">
        <v>107</v>
      </c>
      <c r="F1" t="s">
        <v>108</v>
      </c>
      <c r="G1" t="s">
        <v>109</v>
      </c>
      <c r="H1" t="s">
        <v>110</v>
      </c>
      <c r="I1" t="s">
        <v>111</v>
      </c>
    </row>
    <row r="2" spans="1:9" x14ac:dyDescent="0.25">
      <c r="A2" t="s">
        <v>112</v>
      </c>
      <c r="B2">
        <v>360</v>
      </c>
    </row>
    <row r="3" spans="1:9" x14ac:dyDescent="0.25">
      <c r="A3" s="52" t="s">
        <v>113</v>
      </c>
      <c r="B3" s="34">
        <v>27.49</v>
      </c>
      <c r="C3" t="s">
        <v>114</v>
      </c>
    </row>
    <row r="4" spans="1:9" x14ac:dyDescent="0.25">
      <c r="A4" t="s">
        <v>100</v>
      </c>
      <c r="B4">
        <v>4.99</v>
      </c>
      <c r="C4" t="s">
        <v>114</v>
      </c>
    </row>
    <row r="5" spans="1:9" x14ac:dyDescent="0.25">
      <c r="A5" t="s">
        <v>115</v>
      </c>
      <c r="B5">
        <v>-4.99</v>
      </c>
      <c r="C5" t="s">
        <v>116</v>
      </c>
    </row>
    <row r="6" spans="1:9" x14ac:dyDescent="0.25">
      <c r="A6" t="s">
        <v>117</v>
      </c>
      <c r="B6">
        <v>93.5</v>
      </c>
      <c r="C6" t="s">
        <v>114</v>
      </c>
    </row>
    <row r="7" spans="1:9" ht="60" x14ac:dyDescent="0.25">
      <c r="A7" t="s">
        <v>118</v>
      </c>
      <c r="B7">
        <v>42.36</v>
      </c>
      <c r="C7" t="s">
        <v>114</v>
      </c>
      <c r="E7" s="5" t="s">
        <v>119</v>
      </c>
    </row>
    <row r="8" spans="1:9" x14ac:dyDescent="0.25">
      <c r="A8" t="s">
        <v>120</v>
      </c>
      <c r="B8">
        <v>39.83</v>
      </c>
      <c r="C8" t="s">
        <v>114</v>
      </c>
      <c r="E8" t="s">
        <v>121</v>
      </c>
      <c r="F8">
        <v>20.95</v>
      </c>
      <c r="G8" t="s">
        <v>122</v>
      </c>
      <c r="H8">
        <v>2.73</v>
      </c>
      <c r="I8">
        <v>18.22</v>
      </c>
    </row>
    <row r="9" spans="1:9" x14ac:dyDescent="0.25">
      <c r="A9" t="s">
        <v>123</v>
      </c>
      <c r="B9">
        <v>40.03</v>
      </c>
      <c r="C9" t="s">
        <v>114</v>
      </c>
    </row>
    <row r="10" spans="1:9" x14ac:dyDescent="0.25">
      <c r="A10" t="s">
        <v>124</v>
      </c>
      <c r="B10">
        <v>72.989999999999995</v>
      </c>
      <c r="C10" t="s">
        <v>114</v>
      </c>
    </row>
    <row r="11" spans="1:9" x14ac:dyDescent="0.25">
      <c r="A11" t="s">
        <v>125</v>
      </c>
      <c r="B11">
        <v>33.229999999999997</v>
      </c>
      <c r="C11" t="s">
        <v>114</v>
      </c>
    </row>
    <row r="12" spans="1:9" x14ac:dyDescent="0.25">
      <c r="A12" t="s">
        <v>126</v>
      </c>
      <c r="B12">
        <v>-11.99</v>
      </c>
      <c r="C12" t="s">
        <v>127</v>
      </c>
    </row>
    <row r="13" spans="1:9" x14ac:dyDescent="0.25">
      <c r="A13" t="s">
        <v>128</v>
      </c>
      <c r="B13">
        <v>-33.229999999999997</v>
      </c>
      <c r="C13" t="s">
        <v>129</v>
      </c>
    </row>
    <row r="14" spans="1:9" x14ac:dyDescent="0.25">
      <c r="A14" t="s">
        <v>130</v>
      </c>
      <c r="B14">
        <v>-46.79</v>
      </c>
      <c r="C14" t="s">
        <v>129</v>
      </c>
    </row>
    <row r="15" spans="1:9" x14ac:dyDescent="0.25">
      <c r="A15" t="s">
        <v>131</v>
      </c>
      <c r="B15">
        <v>21.29</v>
      </c>
      <c r="C15" t="s">
        <v>114</v>
      </c>
      <c r="E15">
        <v>21.29</v>
      </c>
    </row>
    <row r="16" spans="1:9" x14ac:dyDescent="0.25">
      <c r="A16" t="s">
        <v>132</v>
      </c>
      <c r="B16">
        <v>17.39</v>
      </c>
      <c r="C16" t="s">
        <v>114</v>
      </c>
    </row>
    <row r="17" spans="1:6" x14ac:dyDescent="0.25">
      <c r="A17" s="69" t="s">
        <v>133</v>
      </c>
      <c r="B17" s="69">
        <v>4.99</v>
      </c>
      <c r="C17" s="69"/>
      <c r="E17" s="69">
        <v>4.99</v>
      </c>
      <c r="F17" s="69" t="s">
        <v>134</v>
      </c>
    </row>
    <row r="18" spans="1:6" x14ac:dyDescent="0.25">
      <c r="A18" t="s">
        <v>135</v>
      </c>
      <c r="B18">
        <v>-21.29</v>
      </c>
      <c r="C18" t="s">
        <v>127</v>
      </c>
    </row>
    <row r="19" spans="1:6" x14ac:dyDescent="0.25">
      <c r="A19" t="s">
        <v>136</v>
      </c>
      <c r="B19">
        <v>-17.39</v>
      </c>
      <c r="C19" t="s">
        <v>127</v>
      </c>
    </row>
    <row r="20" spans="1:6" x14ac:dyDescent="0.25">
      <c r="A20" s="5" t="s">
        <v>137</v>
      </c>
      <c r="B20">
        <v>12.99</v>
      </c>
      <c r="C20" t="s">
        <v>114</v>
      </c>
    </row>
    <row r="21" spans="1:6" x14ac:dyDescent="0.25">
      <c r="A21" s="5" t="s">
        <v>138</v>
      </c>
      <c r="B21">
        <v>8.6999999999999993</v>
      </c>
      <c r="C21" t="s">
        <v>114</v>
      </c>
    </row>
    <row r="22" spans="1:6" x14ac:dyDescent="0.25">
      <c r="A22" s="5" t="s">
        <v>139</v>
      </c>
      <c r="B22">
        <v>22.99</v>
      </c>
      <c r="C22" t="s">
        <v>114</v>
      </c>
      <c r="D22" s="41" t="s">
        <v>140</v>
      </c>
    </row>
    <row r="23" spans="1:6" x14ac:dyDescent="0.25">
      <c r="A23" s="69" t="s">
        <v>133</v>
      </c>
      <c r="B23" s="69">
        <v>4.99</v>
      </c>
      <c r="C23" s="69"/>
      <c r="E23" s="69">
        <v>4.99</v>
      </c>
      <c r="F23" t="s">
        <v>134</v>
      </c>
    </row>
    <row r="24" spans="1:6" ht="18.75" customHeight="1" x14ac:dyDescent="0.25">
      <c r="A24" s="5" t="s">
        <v>141</v>
      </c>
      <c r="B24">
        <v>6.84</v>
      </c>
      <c r="C24" t="s">
        <v>114</v>
      </c>
      <c r="D24" s="5" t="s">
        <v>142</v>
      </c>
    </row>
    <row r="25" spans="1:6" ht="27.75" customHeight="1" x14ac:dyDescent="0.25">
      <c r="A25" s="5" t="s">
        <v>143</v>
      </c>
      <c r="B25">
        <v>4.03</v>
      </c>
      <c r="C25" t="s">
        <v>114</v>
      </c>
      <c r="D25" s="5" t="s">
        <v>142</v>
      </c>
    </row>
    <row r="26" spans="1:6" x14ac:dyDescent="0.25">
      <c r="A26" s="5" t="s">
        <v>144</v>
      </c>
      <c r="B26">
        <v>-4.03</v>
      </c>
      <c r="C26" t="s">
        <v>129</v>
      </c>
      <c r="F26" s="69"/>
    </row>
    <row r="27" spans="1:6" x14ac:dyDescent="0.25">
      <c r="A27" s="5" t="s">
        <v>145</v>
      </c>
      <c r="B27">
        <v>11.99</v>
      </c>
      <c r="C27" t="s">
        <v>114</v>
      </c>
      <c r="F27" s="69"/>
    </row>
    <row r="28" spans="1:6" x14ac:dyDescent="0.25">
      <c r="A28" s="5" t="s">
        <v>146</v>
      </c>
      <c r="B28">
        <v>6.69</v>
      </c>
      <c r="C28" t="s">
        <v>114</v>
      </c>
    </row>
    <row r="29" spans="1:6" x14ac:dyDescent="0.25">
      <c r="A29" s="72" t="s">
        <v>147</v>
      </c>
      <c r="B29" s="69">
        <v>2.4900000000000002</v>
      </c>
      <c r="C29" s="69"/>
      <c r="D29" s="69"/>
      <c r="E29" s="69"/>
    </row>
    <row r="30" spans="1:6" x14ac:dyDescent="0.25">
      <c r="A30" t="s">
        <v>148</v>
      </c>
      <c r="B30">
        <v>5.99</v>
      </c>
      <c r="C30" t="s">
        <v>114</v>
      </c>
      <c r="D30" s="69"/>
      <c r="E30" s="69"/>
    </row>
    <row r="31" spans="1:6" x14ac:dyDescent="0.25">
      <c r="A31" t="s">
        <v>149</v>
      </c>
      <c r="B31">
        <v>4.79</v>
      </c>
      <c r="C31" t="s">
        <v>127</v>
      </c>
      <c r="D31" s="69"/>
      <c r="E31" s="69"/>
    </row>
    <row r="32" spans="1:6" ht="30" x14ac:dyDescent="0.25">
      <c r="A32" s="72" t="s">
        <v>150</v>
      </c>
      <c r="B32" s="69">
        <v>2.99</v>
      </c>
      <c r="D32" s="69"/>
      <c r="E32" s="69"/>
    </row>
    <row r="33" spans="1:5" x14ac:dyDescent="0.25">
      <c r="A33" t="s">
        <v>151</v>
      </c>
      <c r="B33">
        <v>-4.79</v>
      </c>
    </row>
    <row r="34" spans="1:5" x14ac:dyDescent="0.25">
      <c r="A34" t="s">
        <v>152</v>
      </c>
      <c r="B34">
        <v>9.99</v>
      </c>
      <c r="C34" t="s">
        <v>114</v>
      </c>
    </row>
    <row r="35" spans="1:5" x14ac:dyDescent="0.25">
      <c r="A35" t="s">
        <v>153</v>
      </c>
      <c r="B35">
        <v>6.99</v>
      </c>
      <c r="C35" t="s">
        <v>114</v>
      </c>
    </row>
    <row r="36" spans="1:5" x14ac:dyDescent="0.25">
      <c r="A36" t="s">
        <v>154</v>
      </c>
      <c r="B36">
        <v>4.99</v>
      </c>
      <c r="C36" t="s">
        <v>114</v>
      </c>
    </row>
    <row r="37" spans="1:5" x14ac:dyDescent="0.25">
      <c r="A37" t="s">
        <v>155</v>
      </c>
      <c r="B37">
        <v>4.99</v>
      </c>
      <c r="D37" t="s">
        <v>156</v>
      </c>
    </row>
    <row r="38" spans="1:5" x14ac:dyDescent="0.25">
      <c r="A38" t="s">
        <v>157</v>
      </c>
      <c r="B38">
        <v>-4.99</v>
      </c>
      <c r="C38" t="s">
        <v>127</v>
      </c>
    </row>
    <row r="39" spans="1:5" x14ac:dyDescent="0.25">
      <c r="A39" t="s">
        <v>158</v>
      </c>
      <c r="B39">
        <v>7.69</v>
      </c>
    </row>
    <row r="40" spans="1:5" x14ac:dyDescent="0.25">
      <c r="A40" t="s">
        <v>159</v>
      </c>
      <c r="B40">
        <v>-7.69</v>
      </c>
    </row>
    <row r="41" spans="1:5" x14ac:dyDescent="0.25">
      <c r="A41" t="s">
        <v>104</v>
      </c>
      <c r="B41">
        <f>B2-SUM(B3:B40)</f>
        <v>-11.04000000000002</v>
      </c>
    </row>
    <row r="44" spans="1:5" x14ac:dyDescent="0.25">
      <c r="D44">
        <v>11.99</v>
      </c>
      <c r="E44">
        <v>17.39</v>
      </c>
    </row>
    <row r="45" spans="1:5" x14ac:dyDescent="0.25">
      <c r="D45">
        <v>6.69</v>
      </c>
    </row>
    <row r="46" spans="1:5" x14ac:dyDescent="0.25">
      <c r="D46">
        <v>5.33</v>
      </c>
    </row>
    <row r="47" spans="1:5" x14ac:dyDescent="0.25">
      <c r="D47">
        <v>4.79</v>
      </c>
    </row>
    <row r="48" spans="1:5" x14ac:dyDescent="0.25">
      <c r="D48">
        <f>SUM(D44:D47)</f>
        <v>28.799999999999997</v>
      </c>
    </row>
    <row r="51" spans="1:4" x14ac:dyDescent="0.25">
      <c r="A51" t="s">
        <v>160</v>
      </c>
      <c r="B51" t="s">
        <v>161</v>
      </c>
      <c r="C51" t="s">
        <v>162</v>
      </c>
      <c r="D51" t="s">
        <v>163</v>
      </c>
    </row>
    <row r="52" spans="1:4" ht="30" x14ac:dyDescent="0.25">
      <c r="A52" s="5" t="s">
        <v>164</v>
      </c>
      <c r="B52">
        <v>3</v>
      </c>
      <c r="C52" t="s">
        <v>165</v>
      </c>
    </row>
    <row r="53" spans="1:4" ht="30" x14ac:dyDescent="0.25">
      <c r="A53" s="5" t="s">
        <v>166</v>
      </c>
      <c r="B53">
        <v>20</v>
      </c>
      <c r="C53" t="s">
        <v>165</v>
      </c>
    </row>
    <row r="54" spans="1:4" ht="90" x14ac:dyDescent="0.25">
      <c r="A54" s="5" t="s">
        <v>167</v>
      </c>
      <c r="B54">
        <v>5</v>
      </c>
      <c r="C54" t="s">
        <v>168</v>
      </c>
      <c r="D54" s="5" t="s">
        <v>169</v>
      </c>
    </row>
    <row r="55" spans="1:4" x14ac:dyDescent="0.25">
      <c r="A55" t="s">
        <v>170</v>
      </c>
      <c r="B55">
        <v>8</v>
      </c>
      <c r="C55" t="s">
        <v>171</v>
      </c>
    </row>
    <row r="56" spans="1:4" ht="60" x14ac:dyDescent="0.25">
      <c r="A56" s="5" t="s">
        <v>172</v>
      </c>
      <c r="B56">
        <v>5</v>
      </c>
      <c r="C56" t="s">
        <v>173</v>
      </c>
    </row>
    <row r="57" spans="1:4" x14ac:dyDescent="0.25">
      <c r="A57" t="s">
        <v>174</v>
      </c>
      <c r="B57">
        <v>15</v>
      </c>
      <c r="C57" t="s">
        <v>175</v>
      </c>
    </row>
    <row r="58" spans="1:4" x14ac:dyDescent="0.25">
      <c r="A58" t="s">
        <v>176</v>
      </c>
      <c r="B58">
        <v>7</v>
      </c>
      <c r="C58" t="s">
        <v>177</v>
      </c>
    </row>
    <row r="59" spans="1:4" ht="30" x14ac:dyDescent="0.25">
      <c r="A59" s="5" t="s">
        <v>178</v>
      </c>
      <c r="B59">
        <v>2</v>
      </c>
      <c r="C59" t="s">
        <v>179</v>
      </c>
    </row>
    <row r="60" spans="1:4" x14ac:dyDescent="0.25">
      <c r="A60" t="s">
        <v>180</v>
      </c>
      <c r="B60">
        <v>8</v>
      </c>
      <c r="C60" t="s">
        <v>181</v>
      </c>
    </row>
    <row r="61" spans="1:4" ht="105" x14ac:dyDescent="0.25">
      <c r="A61" s="73" t="s">
        <v>182</v>
      </c>
      <c r="B61">
        <v>5</v>
      </c>
      <c r="C61" t="s">
        <v>183</v>
      </c>
    </row>
    <row r="62" spans="1:4" ht="45" x14ac:dyDescent="0.25">
      <c r="A62" s="73" t="s">
        <v>184</v>
      </c>
      <c r="B62">
        <v>1</v>
      </c>
      <c r="C62" t="s">
        <v>185</v>
      </c>
    </row>
    <row r="63" spans="1:4" ht="60" x14ac:dyDescent="0.25">
      <c r="A63" s="5" t="s">
        <v>186</v>
      </c>
      <c r="B63">
        <v>6</v>
      </c>
      <c r="C63" t="s">
        <v>187</v>
      </c>
    </row>
    <row r="64" spans="1:4" ht="90" x14ac:dyDescent="0.25">
      <c r="A64" s="5" t="s">
        <v>188</v>
      </c>
      <c r="B64">
        <v>8</v>
      </c>
      <c r="C64" t="s">
        <v>189</v>
      </c>
    </row>
    <row r="65" spans="1:3" ht="45" x14ac:dyDescent="0.25">
      <c r="A65" s="5" t="s">
        <v>190</v>
      </c>
      <c r="B65">
        <v>5</v>
      </c>
      <c r="C65" t="s">
        <v>191</v>
      </c>
    </row>
    <row r="66" spans="1:3" ht="90" x14ac:dyDescent="0.25">
      <c r="A66" s="73" t="s">
        <v>192</v>
      </c>
      <c r="B66">
        <v>6</v>
      </c>
    </row>
    <row r="74" spans="1:3" x14ac:dyDescent="0.25">
      <c r="B74">
        <f>SUM(B55:B73)</f>
        <v>76</v>
      </c>
    </row>
    <row r="114" spans="11:11" x14ac:dyDescent="0.25">
      <c r="K114" s="70" t="s">
        <v>193</v>
      </c>
    </row>
    <row r="115" spans="11:11" ht="45" x14ac:dyDescent="0.25">
      <c r="K115" s="70" t="s">
        <v>194</v>
      </c>
    </row>
    <row r="116" spans="11:11" ht="150" x14ac:dyDescent="0.25">
      <c r="K116" s="71" t="s">
        <v>195</v>
      </c>
    </row>
  </sheetData>
  <hyperlinks>
    <hyperlink ref="D22" r:id="rId1" display="https://www.amazon.co.uk/Madlife-Garage-Centrifugal-Clutch-Duty-black/dp/B086JJSXK8/ref=sr_1_3?dib=eyJ2IjoiMSJ9.GAOtFmI0liuvFCX9Ey7tJ5lCTYdwQpNlfmSlTIZMFB65FTH_C4zhIkIwWNt1e4yna610BTeNUtG30uEOMQDKQC1tBi9AubrHXbFCKCQPJfiSdq5utqA0u9scWm5L219mQs3Qu6Egh9uzY2eLjS1PLjWI7UwEIkBsdm4W0UP4wfE.wcfnaZxE8dfjoOQnR-ZPv0Mqj6kMCdO7VkfjDCZhpjw&amp;dib_tag=se&amp;keywords=1%22+centrifugal+clutch&amp;qid=1746198952&amp;sr=8-3" xr:uid="{5CDF4B60-754A-4F59-AAFF-588C3E4F0DC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9CAB-2279-4E79-922F-564DE01C1812}">
  <dimension ref="A1:G25"/>
  <sheetViews>
    <sheetView topLeftCell="A9" workbookViewId="0">
      <selection activeCell="E13" sqref="E13"/>
    </sheetView>
  </sheetViews>
  <sheetFormatPr defaultRowHeight="15" x14ac:dyDescent="0.25"/>
  <cols>
    <col min="1" max="1" width="36.5703125" bestFit="1" customWidth="1"/>
    <col min="2" max="2" width="14.42578125" bestFit="1" customWidth="1"/>
    <col min="3" max="3" width="20.5703125" bestFit="1" customWidth="1"/>
    <col min="4" max="4" width="36.5703125" bestFit="1" customWidth="1"/>
  </cols>
  <sheetData>
    <row r="1" spans="1:7" x14ac:dyDescent="0.25">
      <c r="A1" t="s">
        <v>160</v>
      </c>
      <c r="B1" t="s">
        <v>161</v>
      </c>
      <c r="C1" t="s">
        <v>162</v>
      </c>
      <c r="E1" t="s">
        <v>163</v>
      </c>
    </row>
    <row r="2" spans="1:7" ht="90" x14ac:dyDescent="0.25">
      <c r="A2" s="5" t="s">
        <v>196</v>
      </c>
      <c r="B2">
        <v>6</v>
      </c>
      <c r="C2" t="s">
        <v>197</v>
      </c>
      <c r="E2" s="5" t="s">
        <v>164</v>
      </c>
      <c r="F2">
        <v>3</v>
      </c>
      <c r="G2" t="s">
        <v>165</v>
      </c>
    </row>
    <row r="3" spans="1:7" ht="150" x14ac:dyDescent="0.25">
      <c r="A3" s="5" t="s">
        <v>167</v>
      </c>
      <c r="B3">
        <v>5</v>
      </c>
      <c r="C3" t="s">
        <v>168</v>
      </c>
      <c r="E3" s="5" t="s">
        <v>198</v>
      </c>
      <c r="F3">
        <v>2</v>
      </c>
      <c r="G3" t="s">
        <v>165</v>
      </c>
    </row>
    <row r="4" spans="1:7" ht="105" x14ac:dyDescent="0.25">
      <c r="A4" s="5" t="s">
        <v>199</v>
      </c>
      <c r="E4" s="5" t="s">
        <v>166</v>
      </c>
      <c r="F4">
        <v>20</v>
      </c>
      <c r="G4" t="s">
        <v>165</v>
      </c>
    </row>
    <row r="5" spans="1:7" x14ac:dyDescent="0.25">
      <c r="A5" t="s">
        <v>170</v>
      </c>
      <c r="B5">
        <v>8</v>
      </c>
      <c r="C5" t="s">
        <v>171</v>
      </c>
    </row>
    <row r="6" spans="1:7" ht="165" x14ac:dyDescent="0.25">
      <c r="A6" s="5" t="s">
        <v>200</v>
      </c>
      <c r="B6">
        <v>5</v>
      </c>
      <c r="C6" t="s">
        <v>173</v>
      </c>
      <c r="E6" s="5" t="s">
        <v>169</v>
      </c>
    </row>
    <row r="7" spans="1:7" x14ac:dyDescent="0.25">
      <c r="A7" t="s">
        <v>174</v>
      </c>
      <c r="B7">
        <v>15</v>
      </c>
      <c r="C7" t="s">
        <v>175</v>
      </c>
      <c r="E7" s="5"/>
    </row>
    <row r="8" spans="1:7" x14ac:dyDescent="0.25">
      <c r="A8" t="s">
        <v>176</v>
      </c>
      <c r="B8">
        <v>7</v>
      </c>
      <c r="C8" t="s">
        <v>177</v>
      </c>
    </row>
    <row r="9" spans="1:7" ht="30" x14ac:dyDescent="0.25">
      <c r="A9" s="5" t="s">
        <v>178</v>
      </c>
      <c r="B9">
        <v>2</v>
      </c>
      <c r="C9" t="s">
        <v>179</v>
      </c>
    </row>
    <row r="10" spans="1:7" x14ac:dyDescent="0.25">
      <c r="A10" t="s">
        <v>180</v>
      </c>
      <c r="B10">
        <v>8</v>
      </c>
      <c r="C10" t="s">
        <v>181</v>
      </c>
    </row>
    <row r="11" spans="1:7" ht="105" x14ac:dyDescent="0.25">
      <c r="A11" s="73" t="s">
        <v>182</v>
      </c>
      <c r="B11">
        <v>5</v>
      </c>
      <c r="C11" t="s">
        <v>183</v>
      </c>
    </row>
    <row r="12" spans="1:7" ht="45" x14ac:dyDescent="0.25">
      <c r="A12" s="73" t="s">
        <v>201</v>
      </c>
      <c r="B12">
        <v>10</v>
      </c>
      <c r="C12" t="s">
        <v>185</v>
      </c>
    </row>
    <row r="13" spans="1:7" ht="75" x14ac:dyDescent="0.25">
      <c r="A13" s="73" t="s">
        <v>184</v>
      </c>
      <c r="B13">
        <v>1</v>
      </c>
      <c r="C13" t="s">
        <v>202</v>
      </c>
      <c r="D13" s="5" t="s">
        <v>203</v>
      </c>
    </row>
    <row r="14" spans="1:7" ht="60" x14ac:dyDescent="0.25">
      <c r="A14" s="5" t="s">
        <v>186</v>
      </c>
      <c r="B14">
        <v>6</v>
      </c>
      <c r="C14" t="s">
        <v>204</v>
      </c>
      <c r="D14" s="5" t="s">
        <v>205</v>
      </c>
    </row>
    <row r="15" spans="1:7" ht="90" x14ac:dyDescent="0.25">
      <c r="A15" s="5" t="s">
        <v>188</v>
      </c>
      <c r="B15">
        <v>8</v>
      </c>
      <c r="C15" t="s">
        <v>206</v>
      </c>
      <c r="D15" t="s">
        <v>207</v>
      </c>
    </row>
    <row r="16" spans="1:7" ht="45" x14ac:dyDescent="0.25">
      <c r="A16" s="5" t="s">
        <v>190</v>
      </c>
      <c r="B16">
        <v>5</v>
      </c>
      <c r="C16" t="s">
        <v>208</v>
      </c>
      <c r="D16" t="s">
        <v>209</v>
      </c>
    </row>
    <row r="17" spans="1:4" ht="90" x14ac:dyDescent="0.25">
      <c r="A17" s="73" t="s">
        <v>192</v>
      </c>
      <c r="B17">
        <v>6</v>
      </c>
      <c r="C17" t="s">
        <v>210</v>
      </c>
      <c r="D17" s="5" t="s">
        <v>211</v>
      </c>
    </row>
    <row r="18" spans="1:4" ht="105" x14ac:dyDescent="0.25">
      <c r="A18" s="5" t="s">
        <v>212</v>
      </c>
      <c r="B18">
        <v>10</v>
      </c>
      <c r="C18" t="s">
        <v>213</v>
      </c>
      <c r="D18" s="5" t="s">
        <v>214</v>
      </c>
    </row>
    <row r="19" spans="1:4" ht="45" x14ac:dyDescent="0.25">
      <c r="D19" s="5" t="s">
        <v>215</v>
      </c>
    </row>
    <row r="25" spans="1:4" x14ac:dyDescent="0.25">
      <c r="D25">
        <f>SUM(B3:B18)</f>
        <v>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DFEE-BEAE-42A4-9C52-224E946D10E4}">
  <dimension ref="A1:A17"/>
  <sheetViews>
    <sheetView workbookViewId="0">
      <selection activeCell="A4" sqref="A4"/>
    </sheetView>
  </sheetViews>
  <sheetFormatPr defaultColWidth="15.5703125" defaultRowHeight="20.100000000000001" customHeight="1" x14ac:dyDescent="0.25"/>
  <cols>
    <col min="1" max="16384" width="15.5703125" style="5"/>
  </cols>
  <sheetData>
    <row r="1" spans="1:1" ht="20.100000000000001" customHeight="1" x14ac:dyDescent="0.25">
      <c r="A1" s="5" t="s">
        <v>216</v>
      </c>
    </row>
    <row r="2" spans="1:1" ht="20.100000000000001" customHeight="1" x14ac:dyDescent="0.25">
      <c r="A2" s="5" t="s">
        <v>217</v>
      </c>
    </row>
    <row r="3" spans="1:1" ht="20.100000000000001" customHeight="1" x14ac:dyDescent="0.25">
      <c r="A3" s="5" t="s">
        <v>218</v>
      </c>
    </row>
    <row r="4" spans="1:1" ht="20.100000000000001" customHeight="1" x14ac:dyDescent="0.25">
      <c r="A4" s="5" t="s">
        <v>219</v>
      </c>
    </row>
    <row r="5" spans="1:1" ht="20.100000000000001" customHeight="1" x14ac:dyDescent="0.25">
      <c r="A5" s="5" t="s">
        <v>220</v>
      </c>
    </row>
    <row r="6" spans="1:1" ht="20.100000000000001" customHeight="1" x14ac:dyDescent="0.25">
      <c r="A6" s="5" t="s">
        <v>221</v>
      </c>
    </row>
    <row r="7" spans="1:1" ht="20.100000000000001" customHeight="1" x14ac:dyDescent="0.25">
      <c r="A7" s="5" t="s">
        <v>222</v>
      </c>
    </row>
    <row r="8" spans="1:1" ht="20.100000000000001" customHeight="1" x14ac:dyDescent="0.25">
      <c r="A8" s="5" t="s">
        <v>223</v>
      </c>
    </row>
    <row r="9" spans="1:1" ht="20.100000000000001" customHeight="1" x14ac:dyDescent="0.25">
      <c r="A9" s="5" t="s">
        <v>224</v>
      </c>
    </row>
    <row r="10" spans="1:1" ht="20.100000000000001" customHeight="1" x14ac:dyDescent="0.25">
      <c r="A10" s="5" t="s">
        <v>225</v>
      </c>
    </row>
    <row r="11" spans="1:1" ht="20.100000000000001" customHeight="1" x14ac:dyDescent="0.25">
      <c r="A11" s="5" t="s">
        <v>226</v>
      </c>
    </row>
    <row r="12" spans="1:1" ht="20.100000000000001" customHeight="1" x14ac:dyDescent="0.25">
      <c r="A12" s="5" t="s">
        <v>227</v>
      </c>
    </row>
    <row r="13" spans="1:1" ht="20.100000000000001" customHeight="1" x14ac:dyDescent="0.25">
      <c r="A13" s="5" t="s">
        <v>228</v>
      </c>
    </row>
    <row r="14" spans="1:1" ht="20.100000000000001" customHeight="1" x14ac:dyDescent="0.25">
      <c r="A14" s="5" t="s">
        <v>229</v>
      </c>
    </row>
    <row r="15" spans="1:1" ht="20.100000000000001" customHeight="1" x14ac:dyDescent="0.25">
      <c r="A15" s="5" t="s">
        <v>230</v>
      </c>
    </row>
    <row r="16" spans="1:1" ht="20.100000000000001" customHeight="1" x14ac:dyDescent="0.25">
      <c r="A16" s="5" t="s">
        <v>231</v>
      </c>
    </row>
    <row r="17" spans="1:1" ht="20.100000000000001" customHeight="1" x14ac:dyDescent="0.25">
      <c r="A17" s="5" t="s">
        <v>232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6C40-CEC4-45F3-ADCA-32B93E9D9207}">
  <dimension ref="A1:M30"/>
  <sheetViews>
    <sheetView topLeftCell="A11" zoomScale="87" workbookViewId="0">
      <selection activeCell="A20" sqref="A20:XFD20"/>
    </sheetView>
  </sheetViews>
  <sheetFormatPr defaultRowHeight="15" x14ac:dyDescent="0.25"/>
  <cols>
    <col min="2" max="2" width="26" customWidth="1"/>
    <col min="3" max="3" width="10" bestFit="1" customWidth="1"/>
    <col min="4" max="4" width="9.85546875" bestFit="1" customWidth="1"/>
    <col min="5" max="5" width="9.85546875" customWidth="1"/>
    <col min="6" max="6" width="36.5703125" bestFit="1" customWidth="1"/>
    <col min="7" max="7" width="20.5703125" bestFit="1" customWidth="1"/>
    <col min="8" max="8" width="20.5703125" customWidth="1"/>
    <col min="9" max="9" width="29" customWidth="1"/>
    <col min="10" max="10" width="36.5703125" bestFit="1" customWidth="1"/>
    <col min="12" max="12" width="13.28515625" bestFit="1" customWidth="1"/>
    <col min="13" max="13" width="15.140625" customWidth="1"/>
  </cols>
  <sheetData>
    <row r="1" spans="1:13" ht="30" x14ac:dyDescent="0.25">
      <c r="A1" s="75" t="s">
        <v>233</v>
      </c>
      <c r="B1" t="s">
        <v>234</v>
      </c>
      <c r="C1" t="s">
        <v>235</v>
      </c>
      <c r="D1" t="s">
        <v>236</v>
      </c>
      <c r="E1" t="s">
        <v>237</v>
      </c>
      <c r="F1" t="s">
        <v>238</v>
      </c>
      <c r="G1" t="s">
        <v>239</v>
      </c>
      <c r="H1" t="s">
        <v>240</v>
      </c>
      <c r="I1" s="5" t="s">
        <v>241</v>
      </c>
      <c r="J1" s="5" t="s">
        <v>242</v>
      </c>
      <c r="K1" t="s">
        <v>243</v>
      </c>
      <c r="L1" t="s">
        <v>244</v>
      </c>
      <c r="M1" t="s">
        <v>245</v>
      </c>
    </row>
    <row r="2" spans="1:13" x14ac:dyDescent="0.25">
      <c r="A2" s="75">
        <v>45857</v>
      </c>
      <c r="B2" t="s">
        <v>246</v>
      </c>
      <c r="C2">
        <v>60</v>
      </c>
      <c r="D2">
        <v>100</v>
      </c>
      <c r="E2">
        <v>60</v>
      </c>
      <c r="F2" t="s">
        <v>247</v>
      </c>
      <c r="G2" t="s">
        <v>248</v>
      </c>
      <c r="H2" s="78" t="s">
        <v>249</v>
      </c>
      <c r="I2">
        <v>5.4</v>
      </c>
      <c r="J2">
        <v>5</v>
      </c>
      <c r="K2">
        <v>0</v>
      </c>
      <c r="L2" s="76">
        <f>(((I3-J3)/I3)*100)</f>
        <v>29.974536194979994</v>
      </c>
      <c r="M2" s="76">
        <f>(((I3-K2)/I3)*100)</f>
        <v>100</v>
      </c>
    </row>
    <row r="3" spans="1:13" x14ac:dyDescent="0.25">
      <c r="A3" s="75">
        <v>45857</v>
      </c>
      <c r="B3" t="s">
        <v>250</v>
      </c>
      <c r="C3">
        <v>23</v>
      </c>
      <c r="D3">
        <v>50</v>
      </c>
      <c r="E3">
        <v>20</v>
      </c>
      <c r="G3" t="s">
        <v>251</v>
      </c>
      <c r="H3" s="78" t="s">
        <v>249</v>
      </c>
      <c r="I3">
        <v>10.996</v>
      </c>
      <c r="J3">
        <v>7.7</v>
      </c>
      <c r="K3">
        <v>7.7</v>
      </c>
      <c r="L3" s="76"/>
      <c r="M3" s="76" t="e">
        <f>(((#REF!-K3)/#REF!)*100)</f>
        <v>#REF!</v>
      </c>
    </row>
    <row r="4" spans="1:13" x14ac:dyDescent="0.25">
      <c r="A4" s="75">
        <v>45857</v>
      </c>
      <c r="B4" s="5" t="s">
        <v>252</v>
      </c>
      <c r="C4">
        <v>18</v>
      </c>
      <c r="D4">
        <v>18</v>
      </c>
      <c r="E4">
        <v>0</v>
      </c>
      <c r="I4">
        <v>0</v>
      </c>
      <c r="J4">
        <v>0</v>
      </c>
      <c r="K4">
        <v>0</v>
      </c>
      <c r="L4" s="76" t="e">
        <f t="shared" ref="L4:L20" si="0">(((I4-J4)/I4)*100)</f>
        <v>#DIV/0!</v>
      </c>
      <c r="M4" s="76" t="e">
        <f t="shared" ref="M4:M20" si="1">(((I4-K4)/I4)*100)</f>
        <v>#DIV/0!</v>
      </c>
    </row>
    <row r="5" spans="1:13" x14ac:dyDescent="0.25">
      <c r="A5" s="75">
        <v>45857</v>
      </c>
      <c r="B5" s="5" t="s">
        <v>253</v>
      </c>
      <c r="C5">
        <v>5</v>
      </c>
      <c r="D5">
        <v>5</v>
      </c>
      <c r="E5">
        <v>5</v>
      </c>
      <c r="F5" t="s">
        <v>254</v>
      </c>
      <c r="G5" t="s">
        <v>248</v>
      </c>
      <c r="H5" s="77"/>
      <c r="I5">
        <v>0</v>
      </c>
      <c r="J5">
        <v>0</v>
      </c>
      <c r="K5">
        <v>0</v>
      </c>
      <c r="L5" s="76" t="e">
        <f t="shared" si="0"/>
        <v>#DIV/0!</v>
      </c>
      <c r="M5" s="76" t="e">
        <f t="shared" si="1"/>
        <v>#DIV/0!</v>
      </c>
    </row>
    <row r="6" spans="1:13" ht="45" x14ac:dyDescent="0.25">
      <c r="A6" s="75">
        <v>45857</v>
      </c>
      <c r="B6" t="s">
        <v>255</v>
      </c>
      <c r="C6">
        <v>1</v>
      </c>
      <c r="D6">
        <v>1</v>
      </c>
      <c r="E6">
        <v>0</v>
      </c>
      <c r="F6" s="5" t="s">
        <v>256</v>
      </c>
      <c r="G6" t="s">
        <v>257</v>
      </c>
      <c r="I6">
        <v>0</v>
      </c>
      <c r="J6">
        <v>0</v>
      </c>
      <c r="K6">
        <v>0</v>
      </c>
      <c r="L6" s="76" t="e">
        <f t="shared" si="0"/>
        <v>#DIV/0!</v>
      </c>
      <c r="M6" s="76" t="e">
        <f t="shared" si="1"/>
        <v>#DIV/0!</v>
      </c>
    </row>
    <row r="7" spans="1:13" ht="30" x14ac:dyDescent="0.25">
      <c r="A7" s="75">
        <v>45857</v>
      </c>
      <c r="B7" s="5" t="s">
        <v>258</v>
      </c>
      <c r="C7">
        <v>1</v>
      </c>
      <c r="D7">
        <v>1</v>
      </c>
      <c r="E7">
        <v>0</v>
      </c>
      <c r="F7" s="5" t="s">
        <v>259</v>
      </c>
      <c r="G7" t="s">
        <v>260</v>
      </c>
      <c r="I7">
        <v>0</v>
      </c>
      <c r="J7">
        <v>0</v>
      </c>
      <c r="K7">
        <v>0</v>
      </c>
      <c r="L7" s="76" t="e">
        <f t="shared" si="0"/>
        <v>#DIV/0!</v>
      </c>
      <c r="M7" s="76" t="e">
        <f t="shared" si="1"/>
        <v>#DIV/0!</v>
      </c>
    </row>
    <row r="8" spans="1:13" x14ac:dyDescent="0.25">
      <c r="A8" s="75">
        <v>45857</v>
      </c>
      <c r="B8" t="s">
        <v>261</v>
      </c>
      <c r="C8">
        <v>1</v>
      </c>
      <c r="D8">
        <v>1</v>
      </c>
      <c r="E8">
        <v>0</v>
      </c>
      <c r="F8" t="s">
        <v>262</v>
      </c>
      <c r="G8" t="s">
        <v>248</v>
      </c>
      <c r="I8">
        <v>0</v>
      </c>
      <c r="J8">
        <v>0</v>
      </c>
      <c r="K8">
        <v>0</v>
      </c>
      <c r="L8" s="76" t="e">
        <f t="shared" si="0"/>
        <v>#DIV/0!</v>
      </c>
      <c r="M8" s="76" t="e">
        <f t="shared" si="1"/>
        <v>#DIV/0!</v>
      </c>
    </row>
    <row r="9" spans="1:13" x14ac:dyDescent="0.25">
      <c r="A9" s="75">
        <v>45857</v>
      </c>
      <c r="B9" t="s">
        <v>263</v>
      </c>
      <c r="C9">
        <v>1</v>
      </c>
      <c r="D9">
        <v>1</v>
      </c>
      <c r="E9">
        <v>0</v>
      </c>
      <c r="F9" t="s">
        <v>264</v>
      </c>
      <c r="G9" t="s">
        <v>260</v>
      </c>
      <c r="I9">
        <v>0</v>
      </c>
      <c r="J9">
        <v>0</v>
      </c>
      <c r="K9">
        <v>0</v>
      </c>
      <c r="L9" s="76" t="e">
        <f t="shared" si="0"/>
        <v>#DIV/0!</v>
      </c>
      <c r="M9" s="76" t="e">
        <f t="shared" si="1"/>
        <v>#DIV/0!</v>
      </c>
    </row>
    <row r="10" spans="1:13" ht="30" x14ac:dyDescent="0.25">
      <c r="A10" s="75">
        <v>45857</v>
      </c>
      <c r="B10" t="s">
        <v>265</v>
      </c>
      <c r="C10">
        <v>18</v>
      </c>
      <c r="E10">
        <v>0</v>
      </c>
      <c r="F10" s="5" t="s">
        <v>266</v>
      </c>
      <c r="I10">
        <v>0</v>
      </c>
      <c r="J10">
        <v>0</v>
      </c>
      <c r="K10">
        <v>0</v>
      </c>
      <c r="L10" s="76" t="e">
        <f t="shared" si="0"/>
        <v>#DIV/0!</v>
      </c>
      <c r="M10" s="76" t="e">
        <f t="shared" si="1"/>
        <v>#DIV/0!</v>
      </c>
    </row>
    <row r="11" spans="1:13" ht="30" x14ac:dyDescent="0.25">
      <c r="A11" s="75">
        <v>45857</v>
      </c>
      <c r="B11" t="s">
        <v>267</v>
      </c>
      <c r="C11">
        <v>1</v>
      </c>
      <c r="D11">
        <v>6</v>
      </c>
      <c r="E11">
        <v>0</v>
      </c>
      <c r="F11" s="5" t="s">
        <v>268</v>
      </c>
      <c r="G11" t="s">
        <v>248</v>
      </c>
      <c r="I11">
        <v>0</v>
      </c>
      <c r="J11">
        <v>0</v>
      </c>
      <c r="K11">
        <v>0</v>
      </c>
      <c r="L11" s="76" t="e">
        <f t="shared" si="0"/>
        <v>#DIV/0!</v>
      </c>
      <c r="M11" s="76" t="e">
        <f>(((I11-K11)/I11)*100)</f>
        <v>#DIV/0!</v>
      </c>
    </row>
    <row r="12" spans="1:13" ht="30" x14ac:dyDescent="0.25">
      <c r="A12" s="75">
        <v>45857</v>
      </c>
      <c r="B12" t="s">
        <v>269</v>
      </c>
      <c r="C12">
        <v>4</v>
      </c>
      <c r="D12">
        <v>4</v>
      </c>
      <c r="E12">
        <v>0</v>
      </c>
      <c r="F12" s="5" t="s">
        <v>270</v>
      </c>
      <c r="G12" t="s">
        <v>248</v>
      </c>
      <c r="I12">
        <v>0</v>
      </c>
      <c r="J12">
        <v>0</v>
      </c>
      <c r="K12">
        <v>0</v>
      </c>
      <c r="L12" s="76" t="e">
        <f t="shared" si="0"/>
        <v>#DIV/0!</v>
      </c>
      <c r="M12" s="76" t="e">
        <f t="shared" si="1"/>
        <v>#DIV/0!</v>
      </c>
    </row>
    <row r="13" spans="1:13" x14ac:dyDescent="0.25">
      <c r="A13" s="75">
        <v>45857</v>
      </c>
      <c r="B13" t="s">
        <v>271</v>
      </c>
      <c r="C13">
        <v>4</v>
      </c>
      <c r="D13">
        <v>4</v>
      </c>
      <c r="E13">
        <v>0</v>
      </c>
      <c r="F13" t="s">
        <v>272</v>
      </c>
      <c r="G13" t="s">
        <v>273</v>
      </c>
      <c r="I13">
        <v>0</v>
      </c>
      <c r="J13">
        <v>0</v>
      </c>
      <c r="K13">
        <v>0</v>
      </c>
      <c r="L13" s="76" t="e">
        <f t="shared" si="0"/>
        <v>#DIV/0!</v>
      </c>
      <c r="M13" s="76" t="e">
        <f t="shared" si="1"/>
        <v>#DIV/0!</v>
      </c>
    </row>
    <row r="14" spans="1:13" x14ac:dyDescent="0.25">
      <c r="A14" s="75">
        <v>45857</v>
      </c>
      <c r="B14" t="s">
        <v>274</v>
      </c>
      <c r="C14">
        <v>1</v>
      </c>
      <c r="D14">
        <v>1</v>
      </c>
      <c r="E14">
        <v>0</v>
      </c>
      <c r="F14" t="s">
        <v>264</v>
      </c>
      <c r="G14" t="s">
        <v>251</v>
      </c>
      <c r="I14">
        <v>0</v>
      </c>
      <c r="J14">
        <v>0</v>
      </c>
      <c r="K14">
        <v>0</v>
      </c>
      <c r="L14" s="76" t="e">
        <f t="shared" si="0"/>
        <v>#DIV/0!</v>
      </c>
      <c r="M14" s="76" t="e">
        <f t="shared" si="1"/>
        <v>#DIV/0!</v>
      </c>
    </row>
    <row r="15" spans="1:13" x14ac:dyDescent="0.25">
      <c r="A15" s="75">
        <v>45857</v>
      </c>
      <c r="B15" t="s">
        <v>275</v>
      </c>
      <c r="C15">
        <v>1</v>
      </c>
      <c r="D15">
        <v>1</v>
      </c>
      <c r="E15">
        <v>0</v>
      </c>
      <c r="F15" t="s">
        <v>276</v>
      </c>
      <c r="G15" t="s">
        <v>273</v>
      </c>
      <c r="I15">
        <v>0</v>
      </c>
      <c r="J15">
        <v>0</v>
      </c>
      <c r="K15">
        <v>0</v>
      </c>
      <c r="L15" s="76" t="e">
        <f t="shared" si="0"/>
        <v>#DIV/0!</v>
      </c>
      <c r="M15" s="76" t="e">
        <f t="shared" si="1"/>
        <v>#DIV/0!</v>
      </c>
    </row>
    <row r="16" spans="1:13" ht="30" x14ac:dyDescent="0.25">
      <c r="A16" s="75">
        <v>45857</v>
      </c>
      <c r="B16" s="5" t="s">
        <v>277</v>
      </c>
      <c r="C16">
        <v>3</v>
      </c>
      <c r="D16">
        <v>7</v>
      </c>
      <c r="E16">
        <v>0</v>
      </c>
      <c r="F16" t="s">
        <v>264</v>
      </c>
      <c r="G16" t="s">
        <v>278</v>
      </c>
      <c r="I16">
        <v>0</v>
      </c>
      <c r="J16">
        <v>0</v>
      </c>
      <c r="K16">
        <v>0</v>
      </c>
      <c r="L16" s="76" t="e">
        <f t="shared" si="0"/>
        <v>#DIV/0!</v>
      </c>
      <c r="M16" s="76" t="e">
        <f t="shared" si="1"/>
        <v>#DIV/0!</v>
      </c>
    </row>
    <row r="17" spans="1:13" ht="30" x14ac:dyDescent="0.25">
      <c r="A17" s="75">
        <v>45857</v>
      </c>
      <c r="B17" s="5" t="s">
        <v>279</v>
      </c>
      <c r="C17">
        <v>8</v>
      </c>
      <c r="E17">
        <v>0</v>
      </c>
      <c r="F17" s="5" t="s">
        <v>280</v>
      </c>
      <c r="G17" t="s">
        <v>281</v>
      </c>
      <c r="I17">
        <v>0</v>
      </c>
      <c r="J17">
        <v>0</v>
      </c>
      <c r="K17">
        <v>0</v>
      </c>
      <c r="L17" s="76" t="e">
        <f>(((I17-J17)/I17)*100)</f>
        <v>#DIV/0!</v>
      </c>
      <c r="M17" s="76" t="e">
        <f>(((I17-K17)/I17)*100)</f>
        <v>#DIV/0!</v>
      </c>
    </row>
    <row r="18" spans="1:13" ht="30" x14ac:dyDescent="0.25">
      <c r="A18" s="75">
        <v>45857</v>
      </c>
      <c r="B18" s="5" t="s">
        <v>282</v>
      </c>
      <c r="C18">
        <v>2</v>
      </c>
      <c r="D18">
        <v>4</v>
      </c>
      <c r="E18">
        <v>2</v>
      </c>
      <c r="F18" t="s">
        <v>264</v>
      </c>
      <c r="H18" s="77"/>
      <c r="I18">
        <v>0</v>
      </c>
      <c r="J18">
        <v>0</v>
      </c>
      <c r="K18">
        <v>0</v>
      </c>
      <c r="L18" s="76" t="e">
        <f t="shared" si="0"/>
        <v>#DIV/0!</v>
      </c>
      <c r="M18" s="76" t="e">
        <f t="shared" si="1"/>
        <v>#DIV/0!</v>
      </c>
    </row>
    <row r="19" spans="1:13" ht="30" x14ac:dyDescent="0.25">
      <c r="A19" s="75">
        <v>45857</v>
      </c>
      <c r="B19" s="5" t="s">
        <v>283</v>
      </c>
      <c r="C19">
        <v>1</v>
      </c>
      <c r="D19">
        <v>1</v>
      </c>
      <c r="E19">
        <v>1</v>
      </c>
      <c r="F19" t="s">
        <v>254</v>
      </c>
      <c r="G19" t="s">
        <v>248</v>
      </c>
      <c r="H19" s="77"/>
      <c r="I19">
        <v>4.03</v>
      </c>
      <c r="J19">
        <v>4</v>
      </c>
      <c r="K19">
        <v>0</v>
      </c>
      <c r="L19" s="76">
        <f t="shared" si="0"/>
        <v>0.74441687344913765</v>
      </c>
      <c r="M19" s="76">
        <f t="shared" si="1"/>
        <v>100</v>
      </c>
    </row>
    <row r="20" spans="1:13" x14ac:dyDescent="0.25">
      <c r="A20" s="75">
        <v>45868</v>
      </c>
      <c r="B20" t="s">
        <v>125</v>
      </c>
      <c r="C20">
        <v>1</v>
      </c>
      <c r="D20">
        <v>1</v>
      </c>
      <c r="E20">
        <v>1</v>
      </c>
      <c r="F20" t="s">
        <v>254</v>
      </c>
      <c r="G20" t="s">
        <v>248</v>
      </c>
      <c r="H20" s="78" t="s">
        <v>249</v>
      </c>
      <c r="I20">
        <v>33.229999999999997</v>
      </c>
      <c r="J20">
        <v>27.99</v>
      </c>
      <c r="K20">
        <f>SUM(K2:K19)</f>
        <v>7.7</v>
      </c>
      <c r="L20" s="76">
        <f t="shared" si="0"/>
        <v>15.768883538970806</v>
      </c>
      <c r="M20" s="76">
        <f t="shared" si="1"/>
        <v>76.828167318687932</v>
      </c>
    </row>
    <row r="21" spans="1:13" x14ac:dyDescent="0.25">
      <c r="A21" s="75"/>
    </row>
    <row r="22" spans="1:13" x14ac:dyDescent="0.25">
      <c r="B22" t="s">
        <v>284</v>
      </c>
      <c r="C22">
        <v>360</v>
      </c>
    </row>
    <row r="23" spans="1:13" x14ac:dyDescent="0.25">
      <c r="B23" s="5" t="s">
        <v>285</v>
      </c>
      <c r="C23">
        <f>SUM(I3:I20)</f>
        <v>48.256</v>
      </c>
    </row>
    <row r="24" spans="1:13" x14ac:dyDescent="0.25">
      <c r="B24" s="5" t="s">
        <v>286</v>
      </c>
      <c r="C24">
        <f>SUM(J3:J20)</f>
        <v>39.69</v>
      </c>
    </row>
    <row r="25" spans="1:13" x14ac:dyDescent="0.25">
      <c r="B25" t="s">
        <v>287</v>
      </c>
      <c r="C25">
        <f>K20</f>
        <v>7.7</v>
      </c>
    </row>
    <row r="26" spans="1:13" ht="30" x14ac:dyDescent="0.25">
      <c r="B26" s="5" t="s">
        <v>288</v>
      </c>
      <c r="C26">
        <f>C22-(C23-C24)</f>
        <v>351.43399999999997</v>
      </c>
    </row>
    <row r="27" spans="1:13" ht="30" x14ac:dyDescent="0.25">
      <c r="B27" s="5" t="s">
        <v>289</v>
      </c>
      <c r="C27">
        <f>(C26/C22)*100</f>
        <v>97.620555555555541</v>
      </c>
    </row>
    <row r="29" spans="1:13" ht="30" x14ac:dyDescent="0.25">
      <c r="B29" s="5" t="s">
        <v>290</v>
      </c>
      <c r="C29" s="76" t="e">
        <f>AVERAGE(L2:L20)</f>
        <v>#DIV/0!</v>
      </c>
    </row>
    <row r="30" spans="1:13" x14ac:dyDescent="0.25">
      <c r="B30" t="s">
        <v>291</v>
      </c>
      <c r="C30" s="76" t="e">
        <f>AVERAGE(M2:M20)</f>
        <v>#REF!</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388E-FFBB-4175-B5D8-A54A878F4E2C}">
  <dimension ref="A1:B8"/>
  <sheetViews>
    <sheetView workbookViewId="0">
      <selection activeCell="B8" sqref="B8"/>
    </sheetView>
  </sheetViews>
  <sheetFormatPr defaultRowHeight="15" x14ac:dyDescent="0.25"/>
  <cols>
    <col min="1" max="1" width="10.85546875" bestFit="1" customWidth="1"/>
    <col min="2" max="2" width="36.5703125" bestFit="1" customWidth="1"/>
  </cols>
  <sheetData>
    <row r="1" spans="1:2" ht="30" x14ac:dyDescent="0.25">
      <c r="A1" s="74">
        <v>45857</v>
      </c>
      <c r="B1" s="5" t="s">
        <v>292</v>
      </c>
    </row>
    <row r="2" spans="1:2" ht="30" x14ac:dyDescent="0.25">
      <c r="A2" s="74">
        <v>45857</v>
      </c>
      <c r="B2" s="5" t="s">
        <v>293</v>
      </c>
    </row>
    <row r="3" spans="1:2" x14ac:dyDescent="0.25">
      <c r="A3" s="74">
        <v>45857</v>
      </c>
      <c r="B3" t="s">
        <v>294</v>
      </c>
    </row>
    <row r="4" spans="1:2" ht="30" x14ac:dyDescent="0.25">
      <c r="A4" s="74">
        <v>45857</v>
      </c>
      <c r="B4" s="5" t="s">
        <v>295</v>
      </c>
    </row>
    <row r="5" spans="1:2" ht="30" x14ac:dyDescent="0.25">
      <c r="A5" s="74">
        <v>45857</v>
      </c>
      <c r="B5" s="5" t="s">
        <v>296</v>
      </c>
    </row>
    <row r="6" spans="1:2" ht="30" x14ac:dyDescent="0.25">
      <c r="A6" s="74">
        <v>45857</v>
      </c>
      <c r="B6" s="5" t="s">
        <v>297</v>
      </c>
    </row>
    <row r="7" spans="1:2" ht="30" x14ac:dyDescent="0.25">
      <c r="A7" s="74">
        <v>45857</v>
      </c>
      <c r="B7" s="5" t="s">
        <v>298</v>
      </c>
    </row>
    <row r="8" spans="1:2" ht="30" x14ac:dyDescent="0.25">
      <c r="A8" s="74">
        <v>45857</v>
      </c>
      <c r="B8" s="5"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Model 4.1</vt:lpstr>
      <vt:lpstr>Model 4.2 - Post Approval</vt:lpstr>
      <vt:lpstr>Model 4.3 (Dynamic) Expenses</vt:lpstr>
      <vt:lpstr>220525 Gnatt chart</vt:lpstr>
      <vt:lpstr>Sheet1</vt:lpstr>
      <vt:lpstr>Model 4.3 Leftover parts</vt:lpstr>
      <vt:lpstr>Maintenance logs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Sabekun Nahar</dc:creator>
  <cp:keywords/>
  <dc:description/>
  <cp:lastModifiedBy>Afnan Alam</cp:lastModifiedBy>
  <cp:revision/>
  <dcterms:created xsi:type="dcterms:W3CDTF">2025-01-28T17:40:39Z</dcterms:created>
  <dcterms:modified xsi:type="dcterms:W3CDTF">2025-12-03T06:54:37Z</dcterms:modified>
  <cp:category/>
  <cp:contentStatus/>
</cp:coreProperties>
</file>